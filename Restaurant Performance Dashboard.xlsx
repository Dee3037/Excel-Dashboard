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 firstSheet="4" activeTab="4"/>
  </bookViews>
  <sheets>
    <sheet name="Slicers" sheetId="13" state="hidden" r:id="rId1"/>
    <sheet name="Pivot Tables" sheetId="5" state="hidden" r:id="rId2"/>
    <sheet name="Restaurant Data" sheetId="2" state="hidden" r:id="rId3"/>
    <sheet name="Dashboard" sheetId="8" state="hidden" r:id="rId4"/>
    <sheet name="Main Dashboard" sheetId="14" r:id="rId5"/>
  </sheets>
  <definedNames>
    <definedName name="Slicer_Day">#N/A</definedName>
    <definedName name="Slicer_City">#N/A</definedName>
    <definedName name="Slicer_Payment_Method">#N/A</definedName>
    <definedName name="Slicer_Purchase_Type">#N/A</definedName>
    <definedName name="Slicer_Product">#N/A</definedName>
    <definedName name="_xlcn.WorksheetConnection_RestaurantData.xlsxTable11" hidden="1">Table1[]</definedName>
    <definedName name="_xlcn.WorksheetConnection_RestaurantDataM2N31" hidden="1">'Restaurant Data'!$L$2:$M$3</definedName>
    <definedName name="A">'Restaurant Data'!$P$5</definedName>
    <definedName name="Ag">'Restaurant Data'!#REF!</definedName>
    <definedName name="AllAVG">'Restaurant Data'!#REF!</definedName>
    <definedName name="AllQuantity">'Restaurant Data'!#REF!</definedName>
    <definedName name="Allsal">'Restaurant Data'!$P$2</definedName>
    <definedName name="Alltotal">'Restaurant Data'!#REF!</definedName>
    <definedName name="Alltotals">'Restaurant Data'!$P$2</definedName>
    <definedName name="AV">'Restaurant Data'!$P$6</definedName>
    <definedName name="average">'Restaurant Data'!$N$8</definedName>
    <definedName name="AVG">'Restaurant Data'!$O$2</definedName>
    <definedName name="Bestday">'Pivot Tables'!$N$4</definedName>
    <definedName name="Branch">'Restaurant Data'!#REF!</definedName>
    <definedName name="card">'Pivot Tables'!$N$2</definedName>
    <definedName name="citylist">Dashboard!$T$5:$T$9</definedName>
    <definedName name="DN">Dashboard!$D$53</definedName>
    <definedName name="manager">'Pivot Tables'!$N$3</definedName>
    <definedName name="NativeTimeline_Date">#N/A</definedName>
    <definedName name="NativeTimeline_Date1">#N/A</definedName>
    <definedName name="pivots">'Pivot Tables'!$1:$1048576</definedName>
    <definedName name="product">'Pivot Tables'!$N$1</definedName>
    <definedName name="Q">'Restaurant Data'!$P$5</definedName>
    <definedName name="Quantitytotal">'Restaurant Data'!$Q$2</definedName>
    <definedName name="SumQuantity">'Restaurant Data'!$N$7</definedName>
    <definedName name="T">'Restaurant Data'!$P$4</definedName>
    <definedName name="Total">'Restaurant Data'!#REF!</definedName>
    <definedName name="Totalsales">'Restaurant Data'!$N$2</definedName>
    <definedName name="Tuesday">'Pivot Tables'!$N$4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WorksheetConnection_Restaurant Data!$M$2:$N$3" type="5" refreshedVersion="2" saveData="1">
    <dbPr connection="" command="" commandType="2"/>
  </connection>
  <connection id="2" name="WorksheetConnection_Restaurant Data.xlsx!Table1" type="5" refreshedVersion="2" saveData="1">
    <dbPr connection="" command="" commandType="2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<sst xmlns="http://schemas.openxmlformats.org/spreadsheetml/2006/main" count="1418" uniqueCount="113">
  <si>
    <t>Row Labels</t>
  </si>
  <si>
    <t>Total Sales</t>
  </si>
  <si>
    <t>Sum of Sales</t>
  </si>
  <si>
    <t>Sum  Sales</t>
  </si>
  <si>
    <t>Average  Sales</t>
  </si>
  <si>
    <t>Nov</t>
  </si>
  <si>
    <t>Paris</t>
  </si>
  <si>
    <t>Snack</t>
  </si>
  <si>
    <t>07-Nov</t>
  </si>
  <si>
    <t>Berlin</t>
  </si>
  <si>
    <t>Drink</t>
  </si>
  <si>
    <t>08-Nov</t>
  </si>
  <si>
    <t>Madrid</t>
  </si>
  <si>
    <t>Sandwich</t>
  </si>
  <si>
    <t>Tuesday</t>
  </si>
  <si>
    <t>09-Nov</t>
  </si>
  <si>
    <t>London</t>
  </si>
  <si>
    <t>Fries</t>
  </si>
  <si>
    <t>10-Nov</t>
  </si>
  <si>
    <t>Lisbon</t>
  </si>
  <si>
    <t>Burger</t>
  </si>
  <si>
    <t>11-Nov</t>
  </si>
  <si>
    <t>Grand Total</t>
  </si>
  <si>
    <t>12-Nov</t>
  </si>
  <si>
    <t>13-Nov</t>
  </si>
  <si>
    <t>14-Nov</t>
  </si>
  <si>
    <t>Average Sales</t>
  </si>
  <si>
    <t>Count of Payment Method</t>
  </si>
  <si>
    <t>15-Nov</t>
  </si>
  <si>
    <t>Sunday</t>
  </si>
  <si>
    <t>Cash</t>
  </si>
  <si>
    <t>16-Nov</t>
  </si>
  <si>
    <t>Monday</t>
  </si>
  <si>
    <t>Credit Card</t>
  </si>
  <si>
    <t>17-Nov</t>
  </si>
  <si>
    <t>Gift Card</t>
  </si>
  <si>
    <t>18-Nov</t>
  </si>
  <si>
    <t>Wednesday</t>
  </si>
  <si>
    <t>19-Nov</t>
  </si>
  <si>
    <t>Thursday</t>
  </si>
  <si>
    <t>20-Nov</t>
  </si>
  <si>
    <t>Friday</t>
  </si>
  <si>
    <t>21-Nov</t>
  </si>
  <si>
    <t>Saturday</t>
  </si>
  <si>
    <t>Sum Sales</t>
  </si>
  <si>
    <t>22-Nov</t>
  </si>
  <si>
    <t>Joao Silva</t>
  </si>
  <si>
    <t>23-Nov</t>
  </si>
  <si>
    <t>Pablo Perez</t>
  </si>
  <si>
    <t>24-Nov</t>
  </si>
  <si>
    <t>Remy Monet</t>
  </si>
  <si>
    <t>25-Nov</t>
  </si>
  <si>
    <t>Drive-thru</t>
  </si>
  <si>
    <t>Tom Jackson</t>
  </si>
  <si>
    <t>26-Nov</t>
  </si>
  <si>
    <t>In-store</t>
  </si>
  <si>
    <t>Walter Muller</t>
  </si>
  <si>
    <t>27-Nov</t>
  </si>
  <si>
    <t>Online</t>
  </si>
  <si>
    <t>28-Nov</t>
  </si>
  <si>
    <t>29-Nov</t>
  </si>
  <si>
    <t>30-Nov</t>
  </si>
  <si>
    <t>Dec</t>
  </si>
  <si>
    <t>Sum of Quantity</t>
  </si>
  <si>
    <t>01-Dec</t>
  </si>
  <si>
    <t>02-Dec</t>
  </si>
  <si>
    <t>03-Dec</t>
  </si>
  <si>
    <t>04-Dec</t>
  </si>
  <si>
    <t>05-Dec</t>
  </si>
  <si>
    <t>06-Dec</t>
  </si>
  <si>
    <t>07-Dec</t>
  </si>
  <si>
    <t>08-Dec</t>
  </si>
  <si>
    <t>09-Dec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</si>
  <si>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</si>
  <si>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</si>
  <si>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</si>
  <si>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</si>
  <si>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</si>
  <si>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</si>
  <si>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</si>
  <si>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</si>
  <si>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</si>
  <si>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</si>
  <si>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</si>
  <si>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</si>
  <si>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</si>
  <si>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</si>
  <si>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</si>
  <si>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</si>
  <si>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</si>
  <si>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</si>
  <si>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</si>
  <si>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</si>
  <si>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Order ID</t>
  </si>
  <si>
    <t>Date</t>
  </si>
  <si>
    <t>Month</t>
  </si>
  <si>
    <t>Product</t>
  </si>
  <si>
    <t>Price</t>
  </si>
  <si>
    <t>Quantity</t>
  </si>
  <si>
    <t>Purchase Type</t>
  </si>
  <si>
    <t>Payment Method</t>
  </si>
  <si>
    <t>Manager</t>
  </si>
  <si>
    <t>City</t>
  </si>
  <si>
    <t>Sales</t>
  </si>
  <si>
    <t>Day</t>
  </si>
  <si>
    <t>All</t>
  </si>
  <si>
    <t>November</t>
  </si>
  <si>
    <t>December</t>
  </si>
  <si>
    <t>Final Dash</t>
  </si>
  <si>
    <t>Restaurant Performance Dashboard</t>
  </si>
  <si>
    <t>City:</t>
  </si>
  <si>
    <t>Product:</t>
  </si>
  <si>
    <t>Month: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</si>
</sst>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[$$-409]#,##0"/>
    <numFmt numFmtId="179" formatCode="_-[$$-409]* #,##0.0_ ;_-[$$-409]* \-#,##0.0\ ;_-[$$-409]* &quot;-&quot;??_ ;_-@_ "/>
    <numFmt numFmtId="180" formatCode="_-[$$-409]* #,##0_ ;_-[$$-409]* \-#,##0\ ;_-[$$-409]* &quot;-&quot;??_ ;_-@_ "/>
    <numFmt numFmtId="181" formatCode="_-* #,##0_-;\-* #,##0_-;_-* &quot;-&quot;??_-;_-@_-"/>
  </numFmts>
  <fonts count="27">
    <font>
      <sz val="11"/>
      <color theme="1"/>
      <name val="Aptos Narrow"/>
      <charset val="134"/>
      <scheme val="minor"/>
    </font>
    <font>
      <b/>
      <i/>
      <sz val="26"/>
      <color theme="1"/>
      <name val="Calibri"/>
      <charset val="134"/>
    </font>
    <font>
      <b/>
      <sz val="14"/>
      <color theme="1"/>
      <name val="Britannic Bold"/>
      <charset val="134"/>
    </font>
    <font>
      <b/>
      <sz val="12"/>
      <color theme="1"/>
      <name val="Arial Rounded MT Bold"/>
      <charset val="134"/>
    </font>
    <font>
      <b/>
      <sz val="12"/>
      <name val="Arial Rounded MT Bold"/>
      <charset val="134"/>
    </font>
    <font>
      <b/>
      <sz val="16"/>
      <name val="Aptos Narrow"/>
      <charset val="134"/>
      <scheme val="minor"/>
    </font>
    <font>
      <b/>
      <sz val="20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>
      <alignment horizontal="center"/>
    </xf>
    <xf numFmtId="0" fontId="5" fillId="3" borderId="0" xfId="0" applyFont="1" applyFill="1"/>
    <xf numFmtId="0" fontId="6" fillId="0" borderId="0" xfId="0" applyFont="1" applyAlignment="1">
      <alignment horizontal="center"/>
    </xf>
    <xf numFmtId="0" fontId="3" fillId="2" borderId="0" xfId="0" applyFont="1" applyFill="1" applyAlignment="1" applyProtection="1">
      <alignment horizontal="center"/>
      <protection locked="0"/>
    </xf>
    <xf numFmtId="0" fontId="0" fillId="0" borderId="0" xfId="0" applyAlignment="1">
      <alignment wrapText="1"/>
    </xf>
    <xf numFmtId="178" fontId="7" fillId="0" borderId="1" xfId="0" applyNumberFormat="1" applyFont="1" applyBorder="1"/>
    <xf numFmtId="10" fontId="0" fillId="0" borderId="0" xfId="0" applyNumberFormat="1"/>
    <xf numFmtId="58" fontId="0" fillId="0" borderId="0" xfId="0" applyNumberFormat="1"/>
    <xf numFmtId="179" fontId="0" fillId="0" borderId="0" xfId="0" applyNumberFormat="1"/>
    <xf numFmtId="1" fontId="0" fillId="0" borderId="0" xfId="0" applyNumberFormat="1"/>
    <xf numFmtId="180" fontId="0" fillId="0" borderId="0" xfId="0" applyNumberFormat="1"/>
    <xf numFmtId="181" fontId="0" fillId="0" borderId="0" xfId="1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78" formatCode="[$$-409]#,##0"/>
    </dxf>
    <dxf>
      <numFmt numFmtId="178" formatCode="[$$-409]#,##0"/>
    </dxf>
    <dxf>
      <numFmt numFmtId="178" formatCode="[$$-409]#,##0"/>
    </dxf>
    <dxf>
      <numFmt numFmtId="178" formatCode="[$$-409]#,##0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80" formatCode="_-[$$-409]* #,##0_ ;_-[$$-409]* \-#,##0\ ;_-[$$-409]* &quot;-&quot;??_ ;_-@_ "/>
    </dxf>
    <dxf>
      <numFmt numFmtId="178" formatCode="[$$-409]#,##0"/>
    </dxf>
    <dxf>
      <numFmt numFmtId="178" formatCode="[$$-409]#,##0"/>
    </dxf>
    <dxf>
      <numFmt numFmtId="182" formatCode="dd/mm/yyyy"/>
    </dxf>
    <dxf>
      <numFmt numFmtId="183" formatCode="dd/mm/yyyy"/>
    </dxf>
    <dxf>
      <numFmt numFmtId="179" formatCode="_-[$$-409]* #,##0.0_ ;_-[$$-409]* \-#,##0.0\ ;_-[$$-409]* &quot;-&quot;??_ ;_-@_ "/>
    </dxf>
    <dxf>
      <numFmt numFmtId="1" formatCode="0"/>
    </dxf>
    <dxf>
      <numFmt numFmtId="180" formatCode="_-[$$-409]* #,##0_ ;_-[$$-409]* \-#,##0\ ;_-[$$-409]* &quot;-&quot;??_ ;_-@_ "/>
    </dxf>
    <dxf>
      <numFmt numFmtId="0" formatCode="General"/>
    </dxf>
    <dxf>
      <border>
        <left/>
        <right/>
        <top/>
        <bottom/>
        <vertical/>
        <horizontal/>
      </border>
    </dxf>
    <dxf>
      <fill>
        <patternFill patternType="solid">
          <fgColor theme="3" tint="0.0999176000244148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</dxfs>
  <tableStyles count="3" defaultTableStyle="TableStyleMedium2" defaultPivotStyle="PivotStyleLight16">
    <tableStyle name="Slicer Style 1" pivot="0" table="0" count="1" xr9:uid="{F4B68847-7C58-4134-A731-3FE2AC53F727}">
      <tableStyleElement type="wholeTable" dxfId="18"/>
    </tableStyle>
    <tableStyle name="Slicer Style 2" pivot="0" table="0" count="2" xr9:uid="{F3F0BD91-9492-4A97-A4E0-5E20EB6F20EF}">
      <tableStyleElement type="wholeTable" dxfId="20"/>
      <tableStyleElement type="headerRow" dxfId="19"/>
    </tableStyle>
    <tableStyle name="Slicer Style 3" pivot="0" table="0" count="1" xr9:uid="{A5DD312E-C43C-4AD6-A02A-B8414107C450}">
      <tableStyleElement type="wholeTable" dxfId="2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1F4E79"/>
      <color rgb="00A9C1D9"/>
      <color rgb="00DCE6F2"/>
      <color rgb="00D9D9D9"/>
    </mruColors>
  </colors>
  <extLst>
    <ext xmlns:x14="http://schemas.microsoft.com/office/spreadsheetml/2009/9/main" uri="{EB79DEF2-80B8-43e5-95BD-54CBDDF9020C}">
      <x14:slicerStyles defaultSlicerStyle="Slicer Style 3">
        <x14:slicerStyle name="Slicer Style 1"/>
        <x14:slicerStyle name="Slicer Style 2"/>
        <x14:slicerStyle name="Slicer Style 3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customXml" Target="../customXml/item2.xml"/><Relationship Id="rId7" Type="http://schemas.openxmlformats.org/officeDocument/2006/relationships/connections" Target="connection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5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Performance Dashboard.xlsx]Pivot Tables!PivotTable1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  <a:r>
              <a:rPr lang="en-US" baseline="0"/>
              <a:t> Trend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6663517060367"/>
          <c:y val="0.232539184952978"/>
          <c:w val="0.825241244844394"/>
          <c:h val="0.29889566312048"/>
        </c:manualLayout>
      </c:layout>
      <c:lineChart>
        <c:grouping val="stack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'Pivot Tables'!$A$2:$A$57</c:f>
              <c:multiLvlStrCache>
                <c:ptCount val="53"/>
                <c:lvl>
                  <c:pt idx="0">
                    <c:v>07-Nov</c:v>
                  </c:pt>
                  <c:pt idx="1">
                    <c:v>08-Nov</c:v>
                  </c:pt>
                  <c:pt idx="2">
                    <c:v>09-Nov</c:v>
                  </c:pt>
                  <c:pt idx="3">
                    <c:v>10-Nov</c:v>
                  </c:pt>
                  <c:pt idx="4">
                    <c:v>11-Nov</c:v>
                  </c:pt>
                  <c:pt idx="5">
                    <c:v>12-Nov</c:v>
                  </c:pt>
                  <c:pt idx="6">
                    <c:v>13-Nov</c:v>
                  </c:pt>
                  <c:pt idx="7">
                    <c:v>14-Nov</c:v>
                  </c:pt>
                  <c:pt idx="8">
                    <c:v>15-Nov</c:v>
                  </c:pt>
                  <c:pt idx="9">
                    <c:v>16-Nov</c:v>
                  </c:pt>
                  <c:pt idx="10">
                    <c:v>17-Nov</c:v>
                  </c:pt>
                  <c:pt idx="11">
                    <c:v>18-Nov</c:v>
                  </c:pt>
                  <c:pt idx="12">
                    <c:v>19-Nov</c:v>
                  </c:pt>
                  <c:pt idx="13">
                    <c:v>20-Nov</c:v>
                  </c:pt>
                  <c:pt idx="14">
                    <c:v>21-Nov</c:v>
                  </c:pt>
                  <c:pt idx="15">
                    <c:v>22-Nov</c:v>
                  </c:pt>
                  <c:pt idx="16">
                    <c:v>23-Nov</c:v>
                  </c:pt>
                  <c:pt idx="17">
                    <c:v>24-Nov</c:v>
                  </c:pt>
                  <c:pt idx="18">
                    <c:v>25-Nov</c:v>
                  </c:pt>
                  <c:pt idx="19">
                    <c:v>26-Nov</c:v>
                  </c:pt>
                  <c:pt idx="20">
                    <c:v>27-Nov</c:v>
                  </c:pt>
                  <c:pt idx="21">
                    <c:v>28-Nov</c:v>
                  </c:pt>
                  <c:pt idx="22">
                    <c:v>29-Nov</c:v>
                  </c:pt>
                  <c:pt idx="23">
                    <c:v>30-Nov</c:v>
                  </c:pt>
                  <c:pt idx="24">
                    <c:v>01-Dec</c:v>
                  </c:pt>
                  <c:pt idx="25">
                    <c:v>02-Dec</c:v>
                  </c:pt>
                  <c:pt idx="26">
                    <c:v>03-Dec</c:v>
                  </c:pt>
                  <c:pt idx="27">
                    <c:v>04-Dec</c:v>
                  </c:pt>
                  <c:pt idx="28">
                    <c:v>05-Dec</c:v>
                  </c:pt>
                  <c:pt idx="29">
                    <c:v>06-Dec</c:v>
                  </c:pt>
                  <c:pt idx="30">
                    <c:v>07-Dec</c:v>
                  </c:pt>
                  <c:pt idx="31">
                    <c:v>08-Dec</c:v>
                  </c:pt>
                  <c:pt idx="32">
                    <c:v>09-Dec</c:v>
                  </c:pt>
                  <c:pt idx="33">
                    <c:v>10-Dec</c:v>
                  </c:pt>
                  <c:pt idx="34">
                    <c:v>11-Dec</c:v>
                  </c:pt>
                  <c:pt idx="35">
                    <c:v>12-Dec</c:v>
                  </c:pt>
                  <c:pt idx="36">
                    <c:v>13-Dec</c:v>
                  </c:pt>
                  <c:pt idx="37">
                    <c:v>14-Dec</c:v>
                  </c:pt>
                  <c:pt idx="38">
                    <c:v>15-Dec</c:v>
                  </c:pt>
                  <c:pt idx="39">
                    <c:v>16-Dec</c:v>
                  </c:pt>
                  <c:pt idx="40">
                    <c:v>17-Dec</c:v>
                  </c:pt>
                  <c:pt idx="41">
                    <c:v>18-Dec</c:v>
                  </c:pt>
                  <c:pt idx="42">
                    <c:v>19-Dec</c:v>
                  </c:pt>
                  <c:pt idx="43">
                    <c:v>20-Dec</c:v>
                  </c:pt>
                  <c:pt idx="44">
                    <c:v>21-Dec</c:v>
                  </c:pt>
                  <c:pt idx="45">
                    <c:v>22-Dec</c:v>
                  </c:pt>
                  <c:pt idx="46">
                    <c:v>23-Dec</c:v>
                  </c:pt>
                  <c:pt idx="47">
                    <c:v>24-Dec</c:v>
                  </c:pt>
                  <c:pt idx="48">
                    <c:v>25-Dec</c:v>
                  </c:pt>
                  <c:pt idx="49">
                    <c:v>26-Dec</c:v>
                  </c:pt>
                  <c:pt idx="50">
                    <c:v>27-Dec</c:v>
                  </c:pt>
                  <c:pt idx="51">
                    <c:v>28-Dec</c:v>
                  </c:pt>
                  <c:pt idx="52">
                    <c:v>29-Dec</c:v>
                  </c:pt>
                </c:lvl>
                <c:lvl>
                  <c:pt idx="0">
                    <c:v>Nov</c:v>
                  </c:pt>
                  <c:pt idx="24">
                    <c:v>Dec</c:v>
                  </c:pt>
                </c:lvl>
              </c:multiLvlStrCache>
            </c:multiLvlStrRef>
          </c:cat>
          <c:val>
            <c:numRef>
              <c:f>'Pivot Tables'!$B$2:$B$57</c:f>
              <c:numCache>
                <c:formatCode>_-[$$-409]* #,##0_ ;_-[$$-409]* \-#,##0\ ;_-[$$-409]* "-"??_ ;_-@_ </c:formatCode>
                <c:ptCount val="53"/>
                <c:pt idx="0">
                  <c:v>5200.0023</c:v>
                </c:pt>
                <c:pt idx="1">
                  <c:v>12400.0731</c:v>
                </c:pt>
                <c:pt idx="2">
                  <c:v>14200.0386</c:v>
                </c:pt>
                <c:pt idx="3">
                  <c:v>13200.0426</c:v>
                </c:pt>
                <c:pt idx="4">
                  <c:v>14400.0156</c:v>
                </c:pt>
                <c:pt idx="5">
                  <c:v>14000.0535</c:v>
                </c:pt>
                <c:pt idx="6">
                  <c:v>27674.4512</c:v>
                </c:pt>
                <c:pt idx="7">
                  <c:v>17839.3445</c:v>
                </c:pt>
                <c:pt idx="8">
                  <c:v>13600.0305</c:v>
                </c:pt>
                <c:pt idx="9">
                  <c:v>13600.0305</c:v>
                </c:pt>
                <c:pt idx="10">
                  <c:v>14000.0535</c:v>
                </c:pt>
                <c:pt idx="11">
                  <c:v>14400.1114</c:v>
                </c:pt>
                <c:pt idx="12">
                  <c:v>14000.0194</c:v>
                </c:pt>
                <c:pt idx="13">
                  <c:v>8200.0466</c:v>
                </c:pt>
                <c:pt idx="14">
                  <c:v>14000.0838</c:v>
                </c:pt>
                <c:pt idx="15">
                  <c:v>13599.9918</c:v>
                </c:pt>
                <c:pt idx="16">
                  <c:v>13800.0378</c:v>
                </c:pt>
                <c:pt idx="17">
                  <c:v>13600.0259</c:v>
                </c:pt>
                <c:pt idx="18">
                  <c:v>13399.9799</c:v>
                </c:pt>
                <c:pt idx="19">
                  <c:v>13200.0638</c:v>
                </c:pt>
                <c:pt idx="20">
                  <c:v>13399.9799</c:v>
                </c:pt>
                <c:pt idx="21">
                  <c:v>13400.0454</c:v>
                </c:pt>
                <c:pt idx="22">
                  <c:v>13400.0454</c:v>
                </c:pt>
                <c:pt idx="23">
                  <c:v>13600.0914</c:v>
                </c:pt>
                <c:pt idx="24">
                  <c:v>13400.1144</c:v>
                </c:pt>
                <c:pt idx="25">
                  <c:v>14000.0535</c:v>
                </c:pt>
                <c:pt idx="26">
                  <c:v>14000.0535</c:v>
                </c:pt>
                <c:pt idx="27">
                  <c:v>9000.1007</c:v>
                </c:pt>
                <c:pt idx="28">
                  <c:v>14200.0386</c:v>
                </c:pt>
                <c:pt idx="29">
                  <c:v>14000.1225</c:v>
                </c:pt>
                <c:pt idx="30">
                  <c:v>14000.0535</c:v>
                </c:pt>
                <c:pt idx="31">
                  <c:v>14200.0995</c:v>
                </c:pt>
                <c:pt idx="32">
                  <c:v>14600.0616</c:v>
                </c:pt>
                <c:pt idx="33">
                  <c:v>14600.0616</c:v>
                </c:pt>
                <c:pt idx="34">
                  <c:v>15000.0881</c:v>
                </c:pt>
                <c:pt idx="35">
                  <c:v>14600.0616</c:v>
                </c:pt>
                <c:pt idx="36">
                  <c:v>14600.0616</c:v>
                </c:pt>
                <c:pt idx="37">
                  <c:v>14600.0106</c:v>
                </c:pt>
                <c:pt idx="38">
                  <c:v>14400.0945</c:v>
                </c:pt>
                <c:pt idx="39">
                  <c:v>15000.0371</c:v>
                </c:pt>
                <c:pt idx="40">
                  <c:v>15400.095</c:v>
                </c:pt>
                <c:pt idx="41">
                  <c:v>15600.0111</c:v>
                </c:pt>
                <c:pt idx="42">
                  <c:v>15799.9613</c:v>
                </c:pt>
                <c:pt idx="43">
                  <c:v>16000.0073</c:v>
                </c:pt>
                <c:pt idx="44">
                  <c:v>16399.9694</c:v>
                </c:pt>
                <c:pt idx="45">
                  <c:v>16599.9644</c:v>
                </c:pt>
                <c:pt idx="46">
                  <c:v>16000.0218</c:v>
                </c:pt>
                <c:pt idx="47">
                  <c:v>16399.9839</c:v>
                </c:pt>
                <c:pt idx="48">
                  <c:v>16599.9789</c:v>
                </c:pt>
                <c:pt idx="49">
                  <c:v>17000.0199</c:v>
                </c:pt>
                <c:pt idx="50">
                  <c:v>17000.0199</c:v>
                </c:pt>
                <c:pt idx="51">
                  <c:v>17599.977</c:v>
                </c:pt>
                <c:pt idx="52">
                  <c:v>16800.078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77250064"/>
        <c:axId val="277250544"/>
      </c:lineChart>
      <c:catAx>
        <c:axId val="277250064"/>
        <c:scaling>
          <c:orientation val="minMax"/>
        </c:scaling>
        <c:delete val="0"/>
        <c:axPos val="b"/>
        <c:numFmt formatCode="[$]d\ mmm\ 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250544"/>
        <c:crosses val="autoZero"/>
        <c:auto val="1"/>
        <c:lblAlgn val="ctr"/>
        <c:lblOffset val="100"/>
        <c:noMultiLvlLbl val="0"/>
      </c:catAx>
      <c:valAx>
        <c:axId val="277250544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\ #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25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9ed6016-2f14-4b85-b734-9cc9e03cf4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[Restaurant Performance Dashboard.xlsx]Pivot Tables!PivotTable2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per Branch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Tables'!$D$2:$D$7</c:f>
              <c:strCache>
                <c:ptCount val="5"/>
                <c:pt idx="0">
                  <c:v>Paris</c:v>
                </c:pt>
                <c:pt idx="1">
                  <c:v>Berlin</c:v>
                </c:pt>
                <c:pt idx="2">
                  <c:v>Madrid</c:v>
                </c:pt>
                <c:pt idx="3">
                  <c:v>London</c:v>
                </c:pt>
                <c:pt idx="4">
                  <c:v>Lisbon</c:v>
                </c:pt>
              </c:strCache>
            </c:strRef>
          </c:cat>
          <c:val>
            <c:numRef>
              <c:f>'Pivot Tables'!$E$2:$E$7</c:f>
              <c:numCache>
                <c:formatCode>_-[$$-409]* #,##0_ ;_-[$$-409]* \-#,##0\ ;_-[$$-409]* "-"??_ ;_-@_ </c:formatCode>
                <c:ptCount val="5"/>
                <c:pt idx="0">
                  <c:v>79800.3051</c:v>
                </c:pt>
                <c:pt idx="1">
                  <c:v>100600.1313</c:v>
                </c:pt>
                <c:pt idx="2">
                  <c:v>136200.2665</c:v>
                </c:pt>
                <c:pt idx="3">
                  <c:v>211201.0406</c:v>
                </c:pt>
                <c:pt idx="4">
                  <c:v>241714.1157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66865984"/>
        <c:axId val="766867424"/>
      </c:barChart>
      <c:catAx>
        <c:axId val="766865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Branch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766867424"/>
        <c:crosses val="autoZero"/>
        <c:auto val="1"/>
        <c:lblAlgn val="ctr"/>
        <c:lblOffset val="100"/>
        <c:noMultiLvlLbl val="0"/>
      </c:catAx>
      <c:valAx>
        <c:axId val="766867424"/>
        <c:scaling>
          <c:orientation val="minMax"/>
          <c:min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$&quot;\ #,&quot;K&quot;" sourceLinked="0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76686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66b52e6-6e05-4868-8e74-acf74a1e7e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Performance Dashboard.xlsx]Pivot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Day of Week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Tables'!$D$11:$D$18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'Pivot Tables'!$E$11:$E$18</c:f>
              <c:numCache>
                <c:formatCode>[$$-409]#,##0</c:formatCode>
                <c:ptCount val="7"/>
                <c:pt idx="0">
                  <c:v>107200.2977</c:v>
                </c:pt>
                <c:pt idx="1">
                  <c:v>114200.1469</c:v>
                </c:pt>
                <c:pt idx="2">
                  <c:v>116674.8169</c:v>
                </c:pt>
                <c:pt idx="3">
                  <c:v>106600.2551</c:v>
                </c:pt>
                <c:pt idx="4">
                  <c:v>104400.3518</c:v>
                </c:pt>
                <c:pt idx="5">
                  <c:v>105400.3074</c:v>
                </c:pt>
                <c:pt idx="6">
                  <c:v>115039.6834</c:v>
                </c:pt>
              </c:numCache>
            </c:numRef>
          </c:val>
        </c:ser>
        <c:ser>
          <c:idx val="1"/>
          <c:order val="1"/>
          <c:tx>
            <c:strRef>
              <c:f>'Pivot Tables'!$F$10</c:f>
              <c:strCache>
                <c:ptCount val="1"/>
                <c:pt idx="0">
                  <c:v>Average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Tables'!$D$11:$D$18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'Pivot Tables'!$F$11:$F$18</c:f>
              <c:numCache>
                <c:formatCode>[$$-409]#,##0</c:formatCode>
                <c:ptCount val="7"/>
                <c:pt idx="0">
                  <c:v>2821.06046578947</c:v>
                </c:pt>
                <c:pt idx="1">
                  <c:v>3005.26702368421</c:v>
                </c:pt>
                <c:pt idx="2">
                  <c:v>3240.96713611111</c:v>
                </c:pt>
                <c:pt idx="3">
                  <c:v>3135.30162058823</c:v>
                </c:pt>
                <c:pt idx="4">
                  <c:v>2982.86719428571</c:v>
                </c:pt>
                <c:pt idx="5">
                  <c:v>2848.65695675676</c:v>
                </c:pt>
                <c:pt idx="6">
                  <c:v>3195.54676111111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251024"/>
        <c:axId val="277251504"/>
      </c:barChart>
      <c:catAx>
        <c:axId val="27725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251504"/>
        <c:crosses val="autoZero"/>
        <c:auto val="1"/>
        <c:lblAlgn val="ctr"/>
        <c:lblOffset val="100"/>
        <c:noMultiLvlLbl val="0"/>
      </c:catAx>
      <c:valAx>
        <c:axId val="277251504"/>
        <c:scaling>
          <c:orientation val="minMax"/>
          <c:min val="100000"/>
        </c:scaling>
        <c:delete val="0"/>
        <c:axPos val="l"/>
        <c:numFmt formatCode="&quot;$&quot;\ 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25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6df7ae2-167f-42f4-8a17-50edf02887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[Restaurant Performance Dashboard.xlsx]Pivot Tables!PivotTable13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Tables'!$I$10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Tables'!$H$11:$H$14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Gift Card</c:v>
                </c:pt>
              </c:strCache>
            </c:strRef>
          </c:cat>
          <c:val>
            <c:numRef>
              <c:f>'Pivot Tables'!$I$11:$I$14</c:f>
              <c:numCache>
                <c:formatCode>General</c:formatCode>
                <c:ptCount val="3"/>
                <c:pt idx="0">
                  <c:v>76</c:v>
                </c:pt>
                <c:pt idx="1">
                  <c:v>120</c:v>
                </c:pt>
                <c:pt idx="2">
                  <c:v>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fa1b39-037e-4893-9f38-59d0c8186c6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[Restaurant Performance Dashboard.xlsx]Pivot Tables!PivotTable16</c:name>
    <c:fmtId val="1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Tables'!$E$20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Tables'!$D$21:$D$24</c:f>
              <c:strCache>
                <c:ptCount val="3"/>
                <c:pt idx="0">
                  <c:v>Drive-thru</c:v>
                </c:pt>
                <c:pt idx="1">
                  <c:v>In-store</c:v>
                </c:pt>
                <c:pt idx="2">
                  <c:v>Online</c:v>
                </c:pt>
              </c:strCache>
            </c:strRef>
          </c:cat>
          <c:val>
            <c:numRef>
              <c:f>'Pivot Tables'!$E$21:$E$24</c:f>
              <c:numCache>
                <c:formatCode>General</c:formatCode>
                <c:ptCount val="3"/>
                <c:pt idx="0">
                  <c:v>178600.473</c:v>
                </c:pt>
                <c:pt idx="1">
                  <c:v>285713.9994</c:v>
                </c:pt>
                <c:pt idx="2">
                  <c:v>305201.3868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76547c-473f-4526-9fd4-9ca8f5fb3d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[Restaurant Performance Dashboard.xlsx]Pivot Tables!PivotTable16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Distribution by Purchase Type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0659461375958399"/>
          <c:y val="0.052327459067616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Tables'!$E$20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00375234521575985"/>
                  <c:y val="0.0063492063492064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Tables'!$D$21:$D$24</c:f>
              <c:strCache>
                <c:ptCount val="3"/>
                <c:pt idx="0">
                  <c:v>Drive-thru</c:v>
                </c:pt>
                <c:pt idx="1">
                  <c:v>In-store</c:v>
                </c:pt>
                <c:pt idx="2">
                  <c:v>Online</c:v>
                </c:pt>
              </c:strCache>
            </c:strRef>
          </c:cat>
          <c:val>
            <c:numRef>
              <c:f>'Pivot Tables'!$E$21:$E$24</c:f>
              <c:numCache>
                <c:formatCode>General</c:formatCode>
                <c:ptCount val="3"/>
                <c:pt idx="0">
                  <c:v>178600.473</c:v>
                </c:pt>
                <c:pt idx="1">
                  <c:v>285713.9994</c:v>
                </c:pt>
                <c:pt idx="2">
                  <c:v>305201.3868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6a7b42-9fb4-4c66-a7d4-9ae39229b4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Performance Dashboard.xlsx]Pivot Tables!PivotTable3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By Revenue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2239190741727"/>
          <c:y val="0.292966221241889"/>
          <c:w val="0.745056182923754"/>
          <c:h val="0.2662171381671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Tables'!$I$1</c:f>
              <c:strCache>
                <c:ptCount val="1"/>
                <c:pt idx="0">
                  <c:v>Sum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Tables'!$H$2:$H$7</c:f>
              <c:strCache>
                <c:ptCount val="5"/>
                <c:pt idx="0">
                  <c:v>Snack</c:v>
                </c:pt>
                <c:pt idx="1">
                  <c:v>Drink</c:v>
                </c:pt>
                <c:pt idx="2">
                  <c:v>Sandwich</c:v>
                </c:pt>
                <c:pt idx="3">
                  <c:v>Fries</c:v>
                </c:pt>
                <c:pt idx="4">
                  <c:v>Burger</c:v>
                </c:pt>
              </c:strCache>
            </c:strRef>
          </c:cat>
          <c:val>
            <c:numRef>
              <c:f>'Pivot Tables'!$I$2:$I$7</c:f>
              <c:numCache>
                <c:formatCode>_-[$$-409]* #,##0_ ;_-[$$-409]* \-#,##0\ ;_-[$$-409]* "-"??_ ;_-@_ </c:formatCode>
                <c:ptCount val="5"/>
                <c:pt idx="0">
                  <c:v>48999.804</c:v>
                </c:pt>
                <c:pt idx="1">
                  <c:v>103200.263</c:v>
                </c:pt>
                <c:pt idx="2">
                  <c:v>114641.695</c:v>
                </c:pt>
                <c:pt idx="3">
                  <c:v>125674.2903</c:v>
                </c:pt>
                <c:pt idx="4">
                  <c:v>376999.8069</c:v>
                </c:pt>
              </c:numCache>
            </c:numRef>
          </c:val>
        </c:ser>
        <c:ser>
          <c:idx val="1"/>
          <c:order val="1"/>
          <c:tx>
            <c:strRef>
              <c:f>'Pivot Tables'!$J$1</c:f>
              <c:strCache>
                <c:ptCount val="1"/>
                <c:pt idx="0">
                  <c:v>Average 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Tables'!$H$2:$H$7</c:f>
              <c:strCache>
                <c:ptCount val="5"/>
                <c:pt idx="0">
                  <c:v>Snack</c:v>
                </c:pt>
                <c:pt idx="1">
                  <c:v>Drink</c:v>
                </c:pt>
                <c:pt idx="2">
                  <c:v>Sandwich</c:v>
                </c:pt>
                <c:pt idx="3">
                  <c:v>Fries</c:v>
                </c:pt>
                <c:pt idx="4">
                  <c:v>Burger</c:v>
                </c:pt>
              </c:strCache>
            </c:strRef>
          </c:cat>
          <c:val>
            <c:numRef>
              <c:f>'Pivot Tables'!$J$2:$J$7</c:f>
              <c:numCache>
                <c:formatCode>_-[$$-409]* #,##0_ ;_-[$$-409]* \-#,##0\ ;_-[$$-409]* "-"??_ ;_-@_ </c:formatCode>
                <c:ptCount val="5"/>
                <c:pt idx="0">
                  <c:v>999.995999999999</c:v>
                </c:pt>
                <c:pt idx="1">
                  <c:v>2064.00526</c:v>
                </c:pt>
                <c:pt idx="2">
                  <c:v>2204.64798076923</c:v>
                </c:pt>
                <c:pt idx="3">
                  <c:v>2464.20177058823</c:v>
                </c:pt>
                <c:pt idx="4">
                  <c:v>7249.99628653846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2"/>
        <c:axId val="603538336"/>
        <c:axId val="603539296"/>
      </c:barChart>
      <c:catAx>
        <c:axId val="60353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539296"/>
        <c:crosses val="autoZero"/>
        <c:auto val="1"/>
        <c:lblAlgn val="ctr"/>
        <c:lblOffset val="100"/>
        <c:noMultiLvlLbl val="0"/>
      </c:catAx>
      <c:valAx>
        <c:axId val="603539296"/>
        <c:scaling>
          <c:orientation val="minMax"/>
        </c:scaling>
        <c:delete val="0"/>
        <c:axPos val="b"/>
        <c:numFmt formatCode="&quot;$&quot;\ 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53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71e35e-de4b-4268-9c0f-e7308fabba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Performance Dashboard.xlsx]Pivot Tables!PivotTable1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  <a:r>
              <a:rPr lang="en-US" baseline="0"/>
              <a:t> Trend</a:t>
            </a:r>
            <a:endParaRPr lang="en-US" baseline="0"/>
          </a:p>
        </c:rich>
      </c:tx>
      <c:layout>
        <c:manualLayout>
          <c:xMode val="edge"/>
          <c:yMode val="edge"/>
          <c:x val="0.261282935356095"/>
          <c:y val="0.042253521126760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6663517060367"/>
          <c:y val="0.232539184952978"/>
          <c:w val="0.825241244844394"/>
          <c:h val="0.2988956631204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'Pivot Tables'!$A$2:$A$57</c:f>
              <c:multiLvlStrCache>
                <c:ptCount val="53"/>
                <c:lvl>
                  <c:pt idx="0">
                    <c:v>07-Nov</c:v>
                  </c:pt>
                  <c:pt idx="1">
                    <c:v>08-Nov</c:v>
                  </c:pt>
                  <c:pt idx="2">
                    <c:v>09-Nov</c:v>
                  </c:pt>
                  <c:pt idx="3">
                    <c:v>10-Nov</c:v>
                  </c:pt>
                  <c:pt idx="4">
                    <c:v>11-Nov</c:v>
                  </c:pt>
                  <c:pt idx="5">
                    <c:v>12-Nov</c:v>
                  </c:pt>
                  <c:pt idx="6">
                    <c:v>13-Nov</c:v>
                  </c:pt>
                  <c:pt idx="7">
                    <c:v>14-Nov</c:v>
                  </c:pt>
                  <c:pt idx="8">
                    <c:v>15-Nov</c:v>
                  </c:pt>
                  <c:pt idx="9">
                    <c:v>16-Nov</c:v>
                  </c:pt>
                  <c:pt idx="10">
                    <c:v>17-Nov</c:v>
                  </c:pt>
                  <c:pt idx="11">
                    <c:v>18-Nov</c:v>
                  </c:pt>
                  <c:pt idx="12">
                    <c:v>19-Nov</c:v>
                  </c:pt>
                  <c:pt idx="13">
                    <c:v>20-Nov</c:v>
                  </c:pt>
                  <c:pt idx="14">
                    <c:v>21-Nov</c:v>
                  </c:pt>
                  <c:pt idx="15">
                    <c:v>22-Nov</c:v>
                  </c:pt>
                  <c:pt idx="16">
                    <c:v>23-Nov</c:v>
                  </c:pt>
                  <c:pt idx="17">
                    <c:v>24-Nov</c:v>
                  </c:pt>
                  <c:pt idx="18">
                    <c:v>25-Nov</c:v>
                  </c:pt>
                  <c:pt idx="19">
                    <c:v>26-Nov</c:v>
                  </c:pt>
                  <c:pt idx="20">
                    <c:v>27-Nov</c:v>
                  </c:pt>
                  <c:pt idx="21">
                    <c:v>28-Nov</c:v>
                  </c:pt>
                  <c:pt idx="22">
                    <c:v>29-Nov</c:v>
                  </c:pt>
                  <c:pt idx="23">
                    <c:v>30-Nov</c:v>
                  </c:pt>
                  <c:pt idx="24">
                    <c:v>01-Dec</c:v>
                  </c:pt>
                  <c:pt idx="25">
                    <c:v>02-Dec</c:v>
                  </c:pt>
                  <c:pt idx="26">
                    <c:v>03-Dec</c:v>
                  </c:pt>
                  <c:pt idx="27">
                    <c:v>04-Dec</c:v>
                  </c:pt>
                  <c:pt idx="28">
                    <c:v>05-Dec</c:v>
                  </c:pt>
                  <c:pt idx="29">
                    <c:v>06-Dec</c:v>
                  </c:pt>
                  <c:pt idx="30">
                    <c:v>07-Dec</c:v>
                  </c:pt>
                  <c:pt idx="31">
                    <c:v>08-Dec</c:v>
                  </c:pt>
                  <c:pt idx="32">
                    <c:v>09-Dec</c:v>
                  </c:pt>
                  <c:pt idx="33">
                    <c:v>10-Dec</c:v>
                  </c:pt>
                  <c:pt idx="34">
                    <c:v>11-Dec</c:v>
                  </c:pt>
                  <c:pt idx="35">
                    <c:v>12-Dec</c:v>
                  </c:pt>
                  <c:pt idx="36">
                    <c:v>13-Dec</c:v>
                  </c:pt>
                  <c:pt idx="37">
                    <c:v>14-Dec</c:v>
                  </c:pt>
                  <c:pt idx="38">
                    <c:v>15-Dec</c:v>
                  </c:pt>
                  <c:pt idx="39">
                    <c:v>16-Dec</c:v>
                  </c:pt>
                  <c:pt idx="40">
                    <c:v>17-Dec</c:v>
                  </c:pt>
                  <c:pt idx="41">
                    <c:v>18-Dec</c:v>
                  </c:pt>
                  <c:pt idx="42">
                    <c:v>19-Dec</c:v>
                  </c:pt>
                  <c:pt idx="43">
                    <c:v>20-Dec</c:v>
                  </c:pt>
                  <c:pt idx="44">
                    <c:v>21-Dec</c:v>
                  </c:pt>
                  <c:pt idx="45">
                    <c:v>22-Dec</c:v>
                  </c:pt>
                  <c:pt idx="46">
                    <c:v>23-Dec</c:v>
                  </c:pt>
                  <c:pt idx="47">
                    <c:v>24-Dec</c:v>
                  </c:pt>
                  <c:pt idx="48">
                    <c:v>25-Dec</c:v>
                  </c:pt>
                  <c:pt idx="49">
                    <c:v>26-Dec</c:v>
                  </c:pt>
                  <c:pt idx="50">
                    <c:v>27-Dec</c:v>
                  </c:pt>
                  <c:pt idx="51">
                    <c:v>28-Dec</c:v>
                  </c:pt>
                  <c:pt idx="52">
                    <c:v>29-Dec</c:v>
                  </c:pt>
                </c:lvl>
                <c:lvl>
                  <c:pt idx="0">
                    <c:v>Nov</c:v>
                  </c:pt>
                  <c:pt idx="24">
                    <c:v>Dec</c:v>
                  </c:pt>
                </c:lvl>
              </c:multiLvlStrCache>
            </c:multiLvlStrRef>
          </c:cat>
          <c:val>
            <c:numRef>
              <c:f>'Pivot Tables'!$B$2:$B$57</c:f>
              <c:numCache>
                <c:formatCode>_-[$$-409]* #,##0_ ;_-[$$-409]* \-#,##0\ ;_-[$$-409]* "-"??_ ;_-@_ </c:formatCode>
                <c:ptCount val="53"/>
                <c:pt idx="0">
                  <c:v>5200.0023</c:v>
                </c:pt>
                <c:pt idx="1">
                  <c:v>12400.0731</c:v>
                </c:pt>
                <c:pt idx="2">
                  <c:v>14200.0386</c:v>
                </c:pt>
                <c:pt idx="3">
                  <c:v>13200.0426</c:v>
                </c:pt>
                <c:pt idx="4">
                  <c:v>14400.0156</c:v>
                </c:pt>
                <c:pt idx="5">
                  <c:v>14000.0535</c:v>
                </c:pt>
                <c:pt idx="6">
                  <c:v>27674.4512</c:v>
                </c:pt>
                <c:pt idx="7">
                  <c:v>17839.3445</c:v>
                </c:pt>
                <c:pt idx="8">
                  <c:v>13600.0305</c:v>
                </c:pt>
                <c:pt idx="9">
                  <c:v>13600.0305</c:v>
                </c:pt>
                <c:pt idx="10">
                  <c:v>14000.0535</c:v>
                </c:pt>
                <c:pt idx="11">
                  <c:v>14400.1114</c:v>
                </c:pt>
                <c:pt idx="12">
                  <c:v>14000.0194</c:v>
                </c:pt>
                <c:pt idx="13">
                  <c:v>8200.0466</c:v>
                </c:pt>
                <c:pt idx="14">
                  <c:v>14000.0838</c:v>
                </c:pt>
                <c:pt idx="15">
                  <c:v>13599.9918</c:v>
                </c:pt>
                <c:pt idx="16">
                  <c:v>13800.0378</c:v>
                </c:pt>
                <c:pt idx="17">
                  <c:v>13600.0259</c:v>
                </c:pt>
                <c:pt idx="18">
                  <c:v>13399.9799</c:v>
                </c:pt>
                <c:pt idx="19">
                  <c:v>13200.0638</c:v>
                </c:pt>
                <c:pt idx="20">
                  <c:v>13399.9799</c:v>
                </c:pt>
                <c:pt idx="21">
                  <c:v>13400.0454</c:v>
                </c:pt>
                <c:pt idx="22">
                  <c:v>13400.0454</c:v>
                </c:pt>
                <c:pt idx="23">
                  <c:v>13600.0914</c:v>
                </c:pt>
                <c:pt idx="24">
                  <c:v>13400.1144</c:v>
                </c:pt>
                <c:pt idx="25">
                  <c:v>14000.0535</c:v>
                </c:pt>
                <c:pt idx="26">
                  <c:v>14000.0535</c:v>
                </c:pt>
                <c:pt idx="27">
                  <c:v>9000.1007</c:v>
                </c:pt>
                <c:pt idx="28">
                  <c:v>14200.0386</c:v>
                </c:pt>
                <c:pt idx="29">
                  <c:v>14000.1225</c:v>
                </c:pt>
                <c:pt idx="30">
                  <c:v>14000.0535</c:v>
                </c:pt>
                <c:pt idx="31">
                  <c:v>14200.0995</c:v>
                </c:pt>
                <c:pt idx="32">
                  <c:v>14600.0616</c:v>
                </c:pt>
                <c:pt idx="33">
                  <c:v>14600.0616</c:v>
                </c:pt>
                <c:pt idx="34">
                  <c:v>15000.0881</c:v>
                </c:pt>
                <c:pt idx="35">
                  <c:v>14600.0616</c:v>
                </c:pt>
                <c:pt idx="36">
                  <c:v>14600.0616</c:v>
                </c:pt>
                <c:pt idx="37">
                  <c:v>14600.0106</c:v>
                </c:pt>
                <c:pt idx="38">
                  <c:v>14400.0945</c:v>
                </c:pt>
                <c:pt idx="39">
                  <c:v>15000.0371</c:v>
                </c:pt>
                <c:pt idx="40">
                  <c:v>15400.095</c:v>
                </c:pt>
                <c:pt idx="41">
                  <c:v>15600.0111</c:v>
                </c:pt>
                <c:pt idx="42">
                  <c:v>15799.9613</c:v>
                </c:pt>
                <c:pt idx="43">
                  <c:v>16000.0073</c:v>
                </c:pt>
                <c:pt idx="44">
                  <c:v>16399.9694</c:v>
                </c:pt>
                <c:pt idx="45">
                  <c:v>16599.9644</c:v>
                </c:pt>
                <c:pt idx="46">
                  <c:v>16000.0218</c:v>
                </c:pt>
                <c:pt idx="47">
                  <c:v>16399.9839</c:v>
                </c:pt>
                <c:pt idx="48">
                  <c:v>16599.9789</c:v>
                </c:pt>
                <c:pt idx="49">
                  <c:v>17000.0199</c:v>
                </c:pt>
                <c:pt idx="50">
                  <c:v>17000.0199</c:v>
                </c:pt>
                <c:pt idx="51">
                  <c:v>17599.977</c:v>
                </c:pt>
                <c:pt idx="52">
                  <c:v>16800.078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77250064"/>
        <c:axId val="277250544"/>
      </c:lineChart>
      <c:catAx>
        <c:axId val="277250064"/>
        <c:scaling>
          <c:orientation val="minMax"/>
        </c:scaling>
        <c:delete val="0"/>
        <c:axPos val="b"/>
        <c:numFmt formatCode="[$]d\ mmm\ 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250544"/>
        <c:crosses val="autoZero"/>
        <c:auto val="1"/>
        <c:lblAlgn val="ctr"/>
        <c:lblOffset val="100"/>
        <c:noMultiLvlLbl val="0"/>
      </c:catAx>
      <c:valAx>
        <c:axId val="2772505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\ #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25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62c08ac-c079-4302-9f26-38aba0fcad59}"/>
      </c:ext>
    </c:extLst>
  </c:chart>
  <c:spPr>
    <a:solidFill>
      <a:srgbClr val="DCE6F2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Performance Dashboard.xlsx]Pivot Tables!PivotTable2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City</a:t>
            </a:r>
            <a:endParaRPr lang="en-US" b="0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Tables'!$D$2:$D$7</c:f>
              <c:strCache>
                <c:ptCount val="5"/>
                <c:pt idx="0">
                  <c:v>Paris</c:v>
                </c:pt>
                <c:pt idx="1">
                  <c:v>Berlin</c:v>
                </c:pt>
                <c:pt idx="2">
                  <c:v>Madrid</c:v>
                </c:pt>
                <c:pt idx="3">
                  <c:v>London</c:v>
                </c:pt>
                <c:pt idx="4">
                  <c:v>Lisbon</c:v>
                </c:pt>
              </c:strCache>
            </c:strRef>
          </c:cat>
          <c:val>
            <c:numRef>
              <c:f>'Pivot Tables'!$E$2:$E$7</c:f>
              <c:numCache>
                <c:formatCode>_-[$$-409]* #,##0_ ;_-[$$-409]* \-#,##0\ ;_-[$$-409]* "-"??_ ;_-@_ </c:formatCode>
                <c:ptCount val="5"/>
                <c:pt idx="0">
                  <c:v>79800.3051</c:v>
                </c:pt>
                <c:pt idx="1">
                  <c:v>100600.1313</c:v>
                </c:pt>
                <c:pt idx="2">
                  <c:v>136200.2665</c:v>
                </c:pt>
                <c:pt idx="3">
                  <c:v>211201.0406</c:v>
                </c:pt>
                <c:pt idx="4">
                  <c:v>241714.1157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66865984"/>
        <c:axId val="766867424"/>
      </c:barChart>
      <c:catAx>
        <c:axId val="766865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Branch</a:t>
                </a:r>
                <a:endParaRPr lang="en-US" b="1" i="1"/>
              </a:p>
            </c:rich>
          </c:tx>
          <c:layout>
            <c:manualLayout>
              <c:xMode val="edge"/>
              <c:yMode val="edge"/>
              <c:x val="0.0355871886120996"/>
              <c:y val="0.3738057742782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867424"/>
        <c:crosses val="autoZero"/>
        <c:auto val="1"/>
        <c:lblAlgn val="ctr"/>
        <c:lblOffset val="100"/>
        <c:noMultiLvlLbl val="0"/>
      </c:catAx>
      <c:valAx>
        <c:axId val="766867424"/>
        <c:scaling>
          <c:orientation val="minMax"/>
          <c:min val="5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Revenue</a:t>
                </a:r>
                <a:endParaRPr lang="en-US" b="1" i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$&quot;\ #,&quot;K&quot;" sourceLinked="0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86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9f176dc-8c14-46ab-a174-e8a63be16296}"/>
      </c:ext>
    </c:extLst>
  </c:chart>
  <c:spPr>
    <a:solidFill>
      <a:srgbClr val="DCE6F2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Performance Dashboard.xlsx]Pivot Tables!PivotTable4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Sales Performance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Tables'!$D$11:$D$18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'Pivot Tables'!$E$11:$E$18</c:f>
              <c:numCache>
                <c:formatCode>[$$-409]#,##0</c:formatCode>
                <c:ptCount val="7"/>
                <c:pt idx="0">
                  <c:v>107200.2977</c:v>
                </c:pt>
                <c:pt idx="1">
                  <c:v>114200.1469</c:v>
                </c:pt>
                <c:pt idx="2">
                  <c:v>116674.8169</c:v>
                </c:pt>
                <c:pt idx="3">
                  <c:v>106600.2551</c:v>
                </c:pt>
                <c:pt idx="4">
                  <c:v>104400.3518</c:v>
                </c:pt>
                <c:pt idx="5">
                  <c:v>105400.3074</c:v>
                </c:pt>
                <c:pt idx="6">
                  <c:v>115039.6834</c:v>
                </c:pt>
              </c:numCache>
            </c:numRef>
          </c:val>
        </c:ser>
        <c:ser>
          <c:idx val="1"/>
          <c:order val="1"/>
          <c:tx>
            <c:strRef>
              <c:f>'Pivot Tables'!$F$10</c:f>
              <c:strCache>
                <c:ptCount val="1"/>
                <c:pt idx="0">
                  <c:v>Average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Tables'!$D$11:$D$18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'Pivot Tables'!$F$11:$F$18</c:f>
              <c:numCache>
                <c:formatCode>[$$-409]#,##0</c:formatCode>
                <c:ptCount val="7"/>
                <c:pt idx="0">
                  <c:v>2821.06046578947</c:v>
                </c:pt>
                <c:pt idx="1">
                  <c:v>3005.26702368421</c:v>
                </c:pt>
                <c:pt idx="2">
                  <c:v>3240.96713611111</c:v>
                </c:pt>
                <c:pt idx="3">
                  <c:v>3135.30162058823</c:v>
                </c:pt>
                <c:pt idx="4">
                  <c:v>2982.86719428571</c:v>
                </c:pt>
                <c:pt idx="5">
                  <c:v>2848.65695675676</c:v>
                </c:pt>
                <c:pt idx="6">
                  <c:v>3195.54676111111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251024"/>
        <c:axId val="277251504"/>
      </c:barChart>
      <c:catAx>
        <c:axId val="27725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251504"/>
        <c:crosses val="autoZero"/>
        <c:auto val="1"/>
        <c:lblAlgn val="ctr"/>
        <c:lblOffset val="100"/>
        <c:noMultiLvlLbl val="0"/>
      </c:catAx>
      <c:valAx>
        <c:axId val="277251504"/>
        <c:scaling>
          <c:orientation val="minMax"/>
          <c:min val="100000"/>
        </c:scaling>
        <c:delete val="0"/>
        <c:axPos val="l"/>
        <c:numFmt formatCode="&quot;$&quot;\ 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25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11abf5-3f91-41bc-92e4-025ee75f8867}"/>
      </c:ext>
    </c:extLst>
  </c:chart>
  <c:spPr>
    <a:solidFill>
      <a:srgbClr val="DCE6F2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9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057400" cy="1765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400050</xdr:colOff>
      <xdr:row>0</xdr:row>
      <xdr:rowOff>0</xdr:rowOff>
    </xdr:from>
    <xdr:to>
      <xdr:col>10</xdr:col>
      <xdr:colOff>400050</xdr:colOff>
      <xdr:row>7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Purchase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0650" y="0"/>
              <a:ext cx="2057400" cy="1263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406400</xdr:colOff>
      <xdr:row>0</xdr:row>
      <xdr:rowOff>0</xdr:rowOff>
    </xdr:from>
    <xdr:to>
      <xdr:col>6</xdr:col>
      <xdr:colOff>406400</xdr:colOff>
      <xdr:row>7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Payment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3800" y="0"/>
              <a:ext cx="2057400" cy="125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165100</xdr:rowOff>
    </xdr:from>
    <xdr:to>
      <xdr:col>3</xdr:col>
      <xdr:colOff>0</xdr:colOff>
      <xdr:row>20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1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43100"/>
              <a:ext cx="2057400" cy="1708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425450</xdr:colOff>
      <xdr:row>8</xdr:row>
      <xdr:rowOff>19050</xdr:rowOff>
    </xdr:from>
    <xdr:to>
      <xdr:col>6</xdr:col>
      <xdr:colOff>425450</xdr:colOff>
      <xdr:row>21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Da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2850" y="1441450"/>
              <a:ext cx="2057400" cy="231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33" name="Date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3" name="Date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7</xdr:col>
      <xdr:colOff>317500</xdr:colOff>
      <xdr:row>8</xdr:row>
      <xdr:rowOff>133350</xdr:rowOff>
    </xdr:from>
    <xdr:to>
      <xdr:col>12</xdr:col>
      <xdr:colOff>508000</xdr:colOff>
      <xdr:row>16</xdr:row>
      <xdr:rowOff>82550</xdr:rowOff>
    </xdr:to>
    <xdr:sp>
      <xdr:nvSpPr>
        <xdr:cNvPr id="2" name="Rectangles 1"/>
        <xdr:cNvSpPr>
          <a:spLocks noTextEdit="1"/>
        </xdr:cNvSpPr>
      </xdr:nvSpPr>
      <xdr:spPr>
        <a:xfrm>
          <a:off x="5118100" y="1555750"/>
          <a:ext cx="3619500" cy="13716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Timeline: Works in Excel 2013 or higher. Do not move or resize.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641350</xdr:colOff>
      <xdr:row>3</xdr:row>
      <xdr:rowOff>63500</xdr:rowOff>
    </xdr:from>
    <xdr:to>
      <xdr:col>16</xdr:col>
      <xdr:colOff>323850</xdr:colOff>
      <xdr:row>5</xdr:row>
      <xdr:rowOff>171450</xdr:rowOff>
    </xdr:to>
    <xdr:sp>
      <xdr:nvSpPr>
        <xdr:cNvPr id="2" name="Right Brace 1"/>
        <xdr:cNvSpPr/>
      </xdr:nvSpPr>
      <xdr:spPr>
        <a:xfrm>
          <a:off x="13670915" y="596900"/>
          <a:ext cx="458470" cy="4635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57150</xdr:colOff>
      <xdr:row>11</xdr:row>
      <xdr:rowOff>6350</xdr:rowOff>
    </xdr:from>
    <xdr:to>
      <xdr:col>7</xdr:col>
      <xdr:colOff>742950</xdr:colOff>
      <xdr:row>15</xdr:row>
      <xdr:rowOff>133350</xdr:rowOff>
    </xdr:to>
    <xdr:sp textlink="#REF!">
      <xdr:nvSpPr>
        <xdr:cNvPr id="10" name="Rectangle: Rounded Corners 9"/>
        <xdr:cNvSpPr/>
      </xdr:nvSpPr>
      <xdr:spPr>
        <a:xfrm>
          <a:off x="4538980" y="1504950"/>
          <a:ext cx="1558290" cy="857250"/>
        </a:xfrm>
        <a:prstGeom prst="roundRect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951C8AA1-DE7C-4269-B2B6-B4163002E987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t>🍔 Top Product: Burger</a:t>
          </a:fld>
          <a:endParaRPr lang="en-US" sz="1400" b="1"/>
        </a:p>
      </xdr:txBody>
    </xdr:sp>
    <xdr:clientData/>
  </xdr:twoCellAnchor>
  <xdr:twoCellAnchor>
    <xdr:from>
      <xdr:col>1</xdr:col>
      <xdr:colOff>184150</xdr:colOff>
      <xdr:row>11</xdr:row>
      <xdr:rowOff>69850</xdr:rowOff>
    </xdr:from>
    <xdr:to>
      <xdr:col>3</xdr:col>
      <xdr:colOff>25400</xdr:colOff>
      <xdr:row>16</xdr:row>
      <xdr:rowOff>76200</xdr:rowOff>
    </xdr:to>
    <xdr:sp textlink="#REF!">
      <xdr:nvSpPr>
        <xdr:cNvPr id="7" name="Rectangle: Rounded Corners 6"/>
        <xdr:cNvSpPr/>
      </xdr:nvSpPr>
      <xdr:spPr>
        <a:xfrm>
          <a:off x="869950" y="1568450"/>
          <a:ext cx="1393190" cy="914400"/>
        </a:xfrm>
        <a:prstGeom prst="roundRect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B1C2F39C-94EA-446D-BB4E-8F0DF90C0695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t>🏆 Lisbon
Total Sales: $241,714</a:t>
          </a:fld>
          <a:endParaRPr lang="en-US" sz="1400" b="1" i="0"/>
        </a:p>
      </xdr:txBody>
    </xdr:sp>
    <xdr:clientData/>
  </xdr:twoCellAnchor>
  <xdr:twoCellAnchor>
    <xdr:from>
      <xdr:col>3</xdr:col>
      <xdr:colOff>101600</xdr:colOff>
      <xdr:row>11</xdr:row>
      <xdr:rowOff>38100</xdr:rowOff>
    </xdr:from>
    <xdr:to>
      <xdr:col>5</xdr:col>
      <xdr:colOff>368300</xdr:colOff>
      <xdr:row>16</xdr:row>
      <xdr:rowOff>69850</xdr:rowOff>
    </xdr:to>
    <xdr:sp>
      <xdr:nvSpPr>
        <xdr:cNvPr id="12" name="Rectangle: Rounded Corners 11"/>
        <xdr:cNvSpPr/>
      </xdr:nvSpPr>
      <xdr:spPr>
        <a:xfrm>
          <a:off x="2339340" y="1536700"/>
          <a:ext cx="1638300" cy="939800"/>
        </a:xfrm>
        <a:prstGeom prst="roundRect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Top Payment Method:</a:t>
          </a:r>
          <a:endParaRPr lang="en-US" sz="1400" b="1"/>
        </a:p>
        <a:p>
          <a:pPr algn="ctr"/>
          <a:r>
            <a:rPr lang="en-US" sz="1400" b="1"/>
            <a:t>Credit Card</a:t>
          </a:r>
          <a:endParaRPr lang="en-US" sz="1400" b="1"/>
        </a:p>
      </xdr:txBody>
    </xdr:sp>
    <xdr:clientData/>
  </xdr:twoCellAnchor>
  <xdr:twoCellAnchor>
    <xdr:from>
      <xdr:col>12</xdr:col>
      <xdr:colOff>25400</xdr:colOff>
      <xdr:row>10</xdr:row>
      <xdr:rowOff>177800</xdr:rowOff>
    </xdr:from>
    <xdr:to>
      <xdr:col>15</xdr:col>
      <xdr:colOff>165100</xdr:colOff>
      <xdr:row>15</xdr:row>
      <xdr:rowOff>12700</xdr:rowOff>
    </xdr:to>
    <xdr:sp textlink="'Restaurant Data'!L259">
      <xdr:nvSpPr>
        <xdr:cNvPr id="14" name="Rectangle: Rounded Corners 13"/>
        <xdr:cNvSpPr/>
      </xdr:nvSpPr>
      <xdr:spPr>
        <a:xfrm>
          <a:off x="8863330" y="1498600"/>
          <a:ext cx="1358900" cy="742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DC3FB2D-AD3C-40AC-9642-C432BF6AEE5E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t>Best Day: Tuesday</a:t>
          </a:fld>
          <a:endParaRPr lang="en-US" sz="1600" b="1"/>
        </a:p>
      </xdr:txBody>
    </xdr:sp>
    <xdr:clientData/>
  </xdr:twoCellAnchor>
  <xdr:twoCellAnchor>
    <xdr:from>
      <xdr:col>8</xdr:col>
      <xdr:colOff>533400</xdr:colOff>
      <xdr:row>11</xdr:row>
      <xdr:rowOff>0</xdr:rowOff>
    </xdr:from>
    <xdr:to>
      <xdr:col>10</xdr:col>
      <xdr:colOff>488950</xdr:colOff>
      <xdr:row>15</xdr:row>
      <xdr:rowOff>88900</xdr:rowOff>
    </xdr:to>
    <xdr:sp textlink="'Restaurant Data'!M259">
      <xdr:nvSpPr>
        <xdr:cNvPr id="15" name="Rectangle: Rounded Corners 14"/>
        <xdr:cNvSpPr/>
      </xdr:nvSpPr>
      <xdr:spPr>
        <a:xfrm>
          <a:off x="6760210" y="1498600"/>
          <a:ext cx="1327150" cy="8191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5CB7C38-7EBE-459E-83ED-71D75C2C3C02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t>Top Manager:Joao Silva</a:t>
          </a:fld>
          <a:endParaRPr lang="en-US" sz="1400" b="1"/>
        </a:p>
      </xdr:txBody>
    </xdr:sp>
    <xdr:clientData/>
  </xdr:twoCellAnchor>
  <xdr:twoCellAnchor>
    <xdr:from>
      <xdr:col>1</xdr:col>
      <xdr:colOff>114300</xdr:colOff>
      <xdr:row>16</xdr:row>
      <xdr:rowOff>19050</xdr:rowOff>
    </xdr:from>
    <xdr:to>
      <xdr:col>5</xdr:col>
      <xdr:colOff>539750</xdr:colOff>
      <xdr:row>26</xdr:row>
      <xdr:rowOff>158750</xdr:rowOff>
    </xdr:to>
    <xdr:graphicFrame>
      <xdr:nvGraphicFramePr>
        <xdr:cNvPr id="16" name="Chart 15"/>
        <xdr:cNvGraphicFramePr/>
      </xdr:nvGraphicFramePr>
      <xdr:xfrm>
        <a:off x="800100" y="2425700"/>
        <a:ext cx="3348990" cy="1917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736600</xdr:colOff>
      <xdr:row>15</xdr:row>
      <xdr:rowOff>171450</xdr:rowOff>
    </xdr:from>
    <xdr:to>
      <xdr:col>9</xdr:col>
      <xdr:colOff>596900</xdr:colOff>
      <xdr:row>27</xdr:row>
      <xdr:rowOff>0</xdr:rowOff>
    </xdr:to>
    <xdr:graphicFrame>
      <xdr:nvGraphicFramePr>
        <xdr:cNvPr id="17" name="Chart 16"/>
        <xdr:cNvGraphicFramePr/>
      </xdr:nvGraphicFramePr>
      <xdr:xfrm>
        <a:off x="4345940" y="2400300"/>
        <a:ext cx="3163570" cy="1962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717550</xdr:colOff>
      <xdr:row>27</xdr:row>
      <xdr:rowOff>120650</xdr:rowOff>
    </xdr:from>
    <xdr:to>
      <xdr:col>10</xdr:col>
      <xdr:colOff>63500</xdr:colOff>
      <xdr:row>37</xdr:row>
      <xdr:rowOff>114300</xdr:rowOff>
    </xdr:to>
    <xdr:graphicFrame>
      <xdr:nvGraphicFramePr>
        <xdr:cNvPr id="19" name="Chart 18"/>
        <xdr:cNvGraphicFramePr/>
      </xdr:nvGraphicFramePr>
      <xdr:xfrm>
        <a:off x="4326890" y="4483100"/>
        <a:ext cx="3335020" cy="1771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0" name="Date 1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120650</xdr:colOff>
      <xdr:row>1</xdr:row>
      <xdr:rowOff>6350</xdr:rowOff>
    </xdr:from>
    <xdr:to>
      <xdr:col>5</xdr:col>
      <xdr:colOff>222250</xdr:colOff>
      <xdr:row>8</xdr:row>
      <xdr:rowOff>31750</xdr:rowOff>
    </xdr:to>
    <xdr:sp>
      <xdr:nvSpPr>
        <xdr:cNvPr id="2" name="Rectangles 1"/>
        <xdr:cNvSpPr>
          <a:spLocks noTextEdit="1"/>
        </xdr:cNvSpPr>
      </xdr:nvSpPr>
      <xdr:spPr>
        <a:xfrm>
          <a:off x="120650" y="57150"/>
          <a:ext cx="3710940" cy="132715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Timeline: Works in Excel 2013 or higher. Do not move or resize.</a:t>
          </a:r>
          <a:endParaRPr lang="en-US" sz="1100"/>
        </a:p>
      </xdr:txBody>
    </xdr:sp>
    <xdr:clientData/>
  </xdr:twoCellAnchor>
  <xdr:twoCellAnchor>
    <xdr:from>
      <xdr:col>10</xdr:col>
      <xdr:colOff>260350</xdr:colOff>
      <xdr:row>15</xdr:row>
      <xdr:rowOff>165100</xdr:rowOff>
    </xdr:from>
    <xdr:to>
      <xdr:col>16</xdr:col>
      <xdr:colOff>34924</xdr:colOff>
      <xdr:row>26</xdr:row>
      <xdr:rowOff>69850</xdr:rowOff>
    </xdr:to>
    <xdr:graphicFrame>
      <xdr:nvGraphicFramePr>
        <xdr:cNvPr id="21" name="Chart 20"/>
        <xdr:cNvGraphicFramePr/>
      </xdr:nvGraphicFramePr>
      <xdr:xfrm>
        <a:off x="7858760" y="2393950"/>
        <a:ext cx="2883535" cy="186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76</xdr:row>
      <xdr:rowOff>0</xdr:rowOff>
    </xdr:from>
    <xdr:to>
      <xdr:col>9</xdr:col>
      <xdr:colOff>133350</xdr:colOff>
      <xdr:row>89</xdr:row>
      <xdr:rowOff>111125</xdr:rowOff>
    </xdr:to>
    <xdr:graphicFrame>
      <xdr:nvGraphicFramePr>
        <xdr:cNvPr id="23" name="Chart 22"/>
        <xdr:cNvGraphicFramePr/>
      </xdr:nvGraphicFramePr>
      <xdr:xfrm>
        <a:off x="2923540" y="13074650"/>
        <a:ext cx="4122420" cy="242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336550</xdr:colOff>
      <xdr:row>27</xdr:row>
      <xdr:rowOff>101600</xdr:rowOff>
    </xdr:from>
    <xdr:to>
      <xdr:col>17</xdr:col>
      <xdr:colOff>279400</xdr:colOff>
      <xdr:row>38</xdr:row>
      <xdr:rowOff>76200</xdr:rowOff>
    </xdr:to>
    <xdr:graphicFrame>
      <xdr:nvGraphicFramePr>
        <xdr:cNvPr id="4" name="Chart 3"/>
        <xdr:cNvGraphicFramePr/>
      </xdr:nvGraphicFramePr>
      <xdr:xfrm>
        <a:off x="7934960" y="4464050"/>
        <a:ext cx="3738245" cy="193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57150</xdr:colOff>
      <xdr:row>27</xdr:row>
      <xdr:rowOff>146050</xdr:rowOff>
    </xdr:from>
    <xdr:to>
      <xdr:col>5</xdr:col>
      <xdr:colOff>304800</xdr:colOff>
      <xdr:row>42</xdr:row>
      <xdr:rowOff>88900</xdr:rowOff>
    </xdr:to>
    <xdr:graphicFrame>
      <xdr:nvGraphicFramePr>
        <xdr:cNvPr id="5" name="Chart 4"/>
        <xdr:cNvGraphicFramePr/>
      </xdr:nvGraphicFramePr>
      <xdr:xfrm>
        <a:off x="742950" y="4508500"/>
        <a:ext cx="317119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330200</xdr:colOff>
      <xdr:row>11</xdr:row>
      <xdr:rowOff>12700</xdr:rowOff>
    </xdr:from>
    <xdr:to>
      <xdr:col>10</xdr:col>
      <xdr:colOff>349250</xdr:colOff>
      <xdr:row>20</xdr:row>
      <xdr:rowOff>177800</xdr:rowOff>
    </xdr:to>
    <xdr:sp>
      <xdr:nvSpPr>
        <xdr:cNvPr id="21" name="Rectangle: Rounded Corners 20"/>
        <xdr:cNvSpPr/>
      </xdr:nvSpPr>
      <xdr:spPr>
        <a:xfrm>
          <a:off x="4451350" y="2095500"/>
          <a:ext cx="3683635" cy="1765300"/>
        </a:xfrm>
        <a:prstGeom prst="roundRect">
          <a:avLst/>
        </a:prstGeom>
        <a:solidFill>
          <a:srgbClr val="DCE6F2"/>
        </a:solidFill>
        <a:ln w="12700">
          <a:solidFill>
            <a:srgbClr val="A9C1D9"/>
          </a:solidFill>
        </a:ln>
        <a:effectLst>
          <a:outerShdw blurRad="50800" dist="38100" dir="2700000" algn="tl" rotWithShape="0">
            <a:schemeClr val="tx1">
              <a:alpha val="2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133350</xdr:colOff>
      <xdr:row>11</xdr:row>
      <xdr:rowOff>0</xdr:rowOff>
    </xdr:from>
    <xdr:to>
      <xdr:col>15</xdr:col>
      <xdr:colOff>520700</xdr:colOff>
      <xdr:row>21</xdr:row>
      <xdr:rowOff>0</xdr:rowOff>
    </xdr:to>
    <xdr:sp>
      <xdr:nvSpPr>
        <xdr:cNvPr id="22" name="Rectangle: Rounded Corners 21"/>
        <xdr:cNvSpPr/>
      </xdr:nvSpPr>
      <xdr:spPr>
        <a:xfrm>
          <a:off x="8604885" y="2082800"/>
          <a:ext cx="3663950" cy="1778000"/>
        </a:xfrm>
        <a:prstGeom prst="roundRect">
          <a:avLst/>
        </a:prstGeom>
        <a:solidFill>
          <a:srgbClr val="DCE6F2"/>
        </a:solidFill>
        <a:ln>
          <a:solidFill>
            <a:srgbClr val="A9C1D9"/>
          </a:solidFill>
        </a:ln>
        <a:effectLst>
          <a:outerShdw blurRad="50800" dist="38100" dir="2700000" algn="tl" rotWithShape="0">
            <a:prstClr val="black">
              <a:alpha val="2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317500</xdr:colOff>
      <xdr:row>22</xdr:row>
      <xdr:rowOff>254000</xdr:rowOff>
    </xdr:from>
    <xdr:to>
      <xdr:col>14</xdr:col>
      <xdr:colOff>50800</xdr:colOff>
      <xdr:row>24</xdr:row>
      <xdr:rowOff>95250</xdr:rowOff>
    </xdr:to>
    <xdr:sp textlink="DN">
      <xdr:nvSpPr>
        <xdr:cNvPr id="19" name="Rectangle: Rounded Corners 18"/>
        <xdr:cNvSpPr/>
      </xdr:nvSpPr>
      <xdr:spPr>
        <a:xfrm>
          <a:off x="9474835" y="4292600"/>
          <a:ext cx="1638300" cy="368300"/>
        </a:xfrm>
        <a:prstGeom prst="roundRect">
          <a:avLst/>
        </a:prstGeom>
        <a:solidFill>
          <a:srgbClr val="DCE6F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0FB9955-F62B-454F-B2FF-C6A2717EC05E}" type="TxLink">
            <a:rPr lang="en-US" sz="1400" b="1" i="0" u="none" strike="noStrike">
              <a:solidFill>
                <a:srgbClr val="00B0F0"/>
              </a:solidFill>
              <a:latin typeface="Aptos Narrow"/>
            </a:rPr>
            <a:t>31.70%</a:t>
          </a:fld>
          <a:endParaRPr lang="en-US" sz="1400" b="1">
            <a:solidFill>
              <a:srgbClr val="00B0F0"/>
            </a:solidFill>
          </a:endParaRPr>
        </a:p>
      </xdr:txBody>
    </xdr:sp>
    <xdr:clientData/>
  </xdr:twoCellAnchor>
  <xdr:twoCellAnchor>
    <xdr:from>
      <xdr:col>1</xdr:col>
      <xdr:colOff>133350</xdr:colOff>
      <xdr:row>11</xdr:row>
      <xdr:rowOff>0</xdr:rowOff>
    </xdr:from>
    <xdr:to>
      <xdr:col>6</xdr:col>
      <xdr:colOff>19050</xdr:colOff>
      <xdr:row>21</xdr:row>
      <xdr:rowOff>0</xdr:rowOff>
    </xdr:to>
    <xdr:sp>
      <xdr:nvSpPr>
        <xdr:cNvPr id="20" name="Rectangle: Rounded Corners 19"/>
        <xdr:cNvSpPr/>
      </xdr:nvSpPr>
      <xdr:spPr>
        <a:xfrm>
          <a:off x="410210" y="2082800"/>
          <a:ext cx="3729990" cy="1778000"/>
        </a:xfrm>
        <a:prstGeom prst="roundRect">
          <a:avLst/>
        </a:prstGeom>
        <a:solidFill>
          <a:srgbClr val="DCE6F2"/>
        </a:solidFill>
        <a:ln>
          <a:solidFill>
            <a:srgbClr val="A9C1D9"/>
          </a:solidFill>
        </a:ln>
        <a:effectLst>
          <a:outerShdw blurRad="50800" dist="38100" dir="2700000" algn="tl" rotWithShape="0">
            <a:prstClr val="black">
              <a:alpha val="2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311150</xdr:colOff>
      <xdr:row>6</xdr:row>
      <xdr:rowOff>0</xdr:rowOff>
    </xdr:from>
    <xdr:to>
      <xdr:col>4</xdr:col>
      <xdr:colOff>152400</xdr:colOff>
      <xdr:row>10</xdr:row>
      <xdr:rowOff>6350</xdr:rowOff>
    </xdr:to>
    <xdr:sp>
      <xdr:nvSpPr>
        <xdr:cNvPr id="3" name="TextBox 2"/>
        <xdr:cNvSpPr txBox="1"/>
      </xdr:nvSpPr>
      <xdr:spPr>
        <a:xfrm>
          <a:off x="588010" y="1193800"/>
          <a:ext cx="2313940" cy="717550"/>
        </a:xfrm>
        <a:prstGeom prst="rect">
          <a:avLst/>
        </a:prstGeom>
        <a:solidFill>
          <a:srgbClr val="1F4E7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/>
            <a:t>💰</a:t>
          </a:r>
          <a:r>
            <a:rPr lang="en-US" sz="1800" b="1">
              <a:solidFill>
                <a:schemeClr val="bg1"/>
              </a:solidFill>
            </a:rPr>
            <a:t>Total Sales</a:t>
          </a:r>
          <a:endParaRPr lang="en-US" sz="1800" b="1">
            <a:solidFill>
              <a:schemeClr val="bg1"/>
            </a:solidFill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63500</xdr:colOff>
      <xdr:row>7</xdr:row>
      <xdr:rowOff>165100</xdr:rowOff>
    </xdr:from>
    <xdr:to>
      <xdr:col>3</xdr:col>
      <xdr:colOff>730250</xdr:colOff>
      <xdr:row>9</xdr:row>
      <xdr:rowOff>114300</xdr:rowOff>
    </xdr:to>
    <xdr:sp textlink="T">
      <xdr:nvSpPr>
        <xdr:cNvPr id="2" name="TextBox 1"/>
        <xdr:cNvSpPr txBox="1"/>
      </xdr:nvSpPr>
      <xdr:spPr>
        <a:xfrm>
          <a:off x="1005205" y="1536700"/>
          <a:ext cx="1588135" cy="304800"/>
        </a:xfrm>
        <a:prstGeom prst="rect">
          <a:avLst/>
        </a:prstGeom>
        <a:solidFill>
          <a:srgbClr val="1F4E7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DE77F97-29CB-4C04-BE56-7A5D46D379B0}" type="TxLink">
            <a:rPr lang="en-US" sz="1800" b="1" i="0" u="none" strike="noStrike">
              <a:solidFill>
                <a:schemeClr val="bg1"/>
              </a:solidFill>
              <a:latin typeface="Aptos Narrow"/>
            </a:rPr>
            <a:t> $769,516 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412750</xdr:colOff>
      <xdr:row>5</xdr:row>
      <xdr:rowOff>184147</xdr:rowOff>
    </xdr:from>
    <xdr:to>
      <xdr:col>9</xdr:col>
      <xdr:colOff>209550</xdr:colOff>
      <xdr:row>10</xdr:row>
      <xdr:rowOff>12700</xdr:rowOff>
    </xdr:to>
    <xdr:sp>
      <xdr:nvSpPr>
        <xdr:cNvPr id="4" name="TextBox 3"/>
        <xdr:cNvSpPr txBox="1"/>
      </xdr:nvSpPr>
      <xdr:spPr>
        <a:xfrm rot="10800000" flipV="1">
          <a:off x="4533900" y="1193800"/>
          <a:ext cx="2775585" cy="723900"/>
        </a:xfrm>
        <a:prstGeom prst="rect">
          <a:avLst/>
        </a:prstGeom>
        <a:solidFill>
          <a:srgbClr val="1F4E7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Avg Sale per Product</a:t>
          </a:r>
          <a:endParaRPr lang="en-US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215900</xdr:colOff>
      <xdr:row>21</xdr:row>
      <xdr:rowOff>146050</xdr:rowOff>
    </xdr:from>
    <xdr:to>
      <xdr:col>5</xdr:col>
      <xdr:colOff>165100</xdr:colOff>
      <xdr:row>22</xdr:row>
      <xdr:rowOff>304800</xdr:rowOff>
    </xdr:to>
    <xdr:sp>
      <xdr:nvSpPr>
        <xdr:cNvPr id="13" name="Rectangle: Rounded Corners 12"/>
        <xdr:cNvSpPr/>
      </xdr:nvSpPr>
      <xdr:spPr>
        <a:xfrm>
          <a:off x="1157605" y="4006850"/>
          <a:ext cx="2442845" cy="336550"/>
        </a:xfrm>
        <a:prstGeom prst="roundRect">
          <a:avLst/>
        </a:prstGeom>
        <a:solidFill>
          <a:srgbClr val="DCE6F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1F4E79"/>
              </a:solidFill>
            </a:rPr>
            <a:t>Best Selling Product: </a:t>
          </a:r>
          <a:endParaRPr lang="en-US" sz="1600" b="1">
            <a:solidFill>
              <a:srgbClr val="1F4E79"/>
            </a:solidFill>
          </a:endParaRPr>
        </a:p>
      </xdr:txBody>
    </xdr:sp>
    <xdr:clientData/>
  </xdr:twoCellAnchor>
  <xdr:twoCellAnchor>
    <xdr:from>
      <xdr:col>6</xdr:col>
      <xdr:colOff>571501</xdr:colOff>
      <xdr:row>7</xdr:row>
      <xdr:rowOff>107950</xdr:rowOff>
    </xdr:from>
    <xdr:to>
      <xdr:col>9</xdr:col>
      <xdr:colOff>101601</xdr:colOff>
      <xdr:row>9</xdr:row>
      <xdr:rowOff>165100</xdr:rowOff>
    </xdr:to>
    <xdr:sp textlink="AV">
      <xdr:nvSpPr>
        <xdr:cNvPr id="6" name="TextBox 5"/>
        <xdr:cNvSpPr txBox="1"/>
      </xdr:nvSpPr>
      <xdr:spPr>
        <a:xfrm>
          <a:off x="4692650" y="1479550"/>
          <a:ext cx="2508885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99D1613-EC79-4ADD-AD44-8C66E70D2B2E}" type="TxLink">
            <a:rPr lang="en-US" sz="1800" b="1" i="0" u="none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Aptos Narrow"/>
              <a:ea typeface="+mn-ea"/>
              <a:cs typeface="+mn-cs"/>
            </a:rPr>
            <a:t> $3,030 </a:t>
          </a:fld>
          <a:endParaRPr lang="en-US" sz="1800" b="1" i="0" u="none" strike="noStrike">
            <a:ln>
              <a:solidFill>
                <a:schemeClr val="bg1"/>
              </a:solidFill>
            </a:ln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222250</xdr:colOff>
      <xdr:row>6</xdr:row>
      <xdr:rowOff>0</xdr:rowOff>
    </xdr:from>
    <xdr:to>
      <xdr:col>14</xdr:col>
      <xdr:colOff>139700</xdr:colOff>
      <xdr:row>10</xdr:row>
      <xdr:rowOff>6350</xdr:rowOff>
    </xdr:to>
    <xdr:sp>
      <xdr:nvSpPr>
        <xdr:cNvPr id="7" name="TextBox 6"/>
        <xdr:cNvSpPr txBox="1"/>
      </xdr:nvSpPr>
      <xdr:spPr>
        <a:xfrm>
          <a:off x="8693785" y="1193800"/>
          <a:ext cx="2508250" cy="717550"/>
        </a:xfrm>
        <a:prstGeom prst="rect">
          <a:avLst/>
        </a:prstGeom>
        <a:solidFill>
          <a:srgbClr val="1F4E7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Total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Quantity Sold</a:t>
          </a:r>
          <a:endParaRPr lang="en-US" sz="16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431800</xdr:colOff>
      <xdr:row>7</xdr:row>
      <xdr:rowOff>127000</xdr:rowOff>
    </xdr:from>
    <xdr:to>
      <xdr:col>13</xdr:col>
      <xdr:colOff>800100</xdr:colOff>
      <xdr:row>9</xdr:row>
      <xdr:rowOff>139700</xdr:rowOff>
    </xdr:to>
    <xdr:sp textlink="Q">
      <xdr:nvSpPr>
        <xdr:cNvPr id="8" name="TextBox 7"/>
        <xdr:cNvSpPr txBox="1"/>
      </xdr:nvSpPr>
      <xdr:spPr>
        <a:xfrm>
          <a:off x="8903335" y="1498600"/>
          <a:ext cx="1996440" cy="368300"/>
        </a:xfrm>
        <a:prstGeom prst="rect">
          <a:avLst/>
        </a:prstGeom>
        <a:solidFill>
          <a:srgbClr val="1F4E7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65FF7CD2-3266-4014-87B5-52601F5D1045}" type="TxLink">
            <a:rPr lang="en-US" sz="1800" b="1" i="0" u="none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Aptos Narrow"/>
              <a:ea typeface="+mn-ea"/>
              <a:cs typeface="+mn-cs"/>
            </a:rPr>
            <a:t> 116,995 </a:t>
          </a:fld>
          <a:endParaRPr lang="en-US" sz="1800" b="1" i="0" u="none" strike="noStrike">
            <a:ln>
              <a:solidFill>
                <a:schemeClr val="bg1"/>
              </a:solidFill>
            </a:ln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209550</xdr:colOff>
      <xdr:row>11</xdr:row>
      <xdr:rowOff>114300</xdr:rowOff>
    </xdr:from>
    <xdr:to>
      <xdr:col>5</xdr:col>
      <xdr:colOff>520700</xdr:colOff>
      <xdr:row>20</xdr:row>
      <xdr:rowOff>107950</xdr:rowOff>
    </xdr:to>
    <xdr:graphicFrame>
      <xdr:nvGraphicFramePr>
        <xdr:cNvPr id="9" name="Chart 8"/>
        <xdr:cNvGraphicFramePr/>
      </xdr:nvGraphicFramePr>
      <xdr:xfrm>
        <a:off x="486410" y="2197100"/>
        <a:ext cx="3469640" cy="1593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336550</xdr:colOff>
      <xdr:row>11</xdr:row>
      <xdr:rowOff>63500</xdr:rowOff>
    </xdr:from>
    <xdr:to>
      <xdr:col>15</xdr:col>
      <xdr:colOff>342900</xdr:colOff>
      <xdr:row>20</xdr:row>
      <xdr:rowOff>158750</xdr:rowOff>
    </xdr:to>
    <xdr:graphicFrame>
      <xdr:nvGraphicFramePr>
        <xdr:cNvPr id="10" name="Chart 9"/>
        <xdr:cNvGraphicFramePr/>
      </xdr:nvGraphicFramePr>
      <xdr:xfrm>
        <a:off x="8808085" y="2146300"/>
        <a:ext cx="3282950" cy="1695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546100</xdr:colOff>
      <xdr:row>11</xdr:row>
      <xdr:rowOff>133350</xdr:rowOff>
    </xdr:from>
    <xdr:to>
      <xdr:col>10</xdr:col>
      <xdr:colOff>146050</xdr:colOff>
      <xdr:row>20</xdr:row>
      <xdr:rowOff>114300</xdr:rowOff>
    </xdr:to>
    <xdr:graphicFrame>
      <xdr:nvGraphicFramePr>
        <xdr:cNvPr id="12" name="Chart 11"/>
        <xdr:cNvGraphicFramePr/>
      </xdr:nvGraphicFramePr>
      <xdr:xfrm>
        <a:off x="4667250" y="2216150"/>
        <a:ext cx="3264535" cy="1581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508000</xdr:colOff>
      <xdr:row>22</xdr:row>
      <xdr:rowOff>254000</xdr:rowOff>
    </xdr:from>
    <xdr:to>
      <xdr:col>4</xdr:col>
      <xdr:colOff>298450</xdr:colOff>
      <xdr:row>24</xdr:row>
      <xdr:rowOff>69850</xdr:rowOff>
    </xdr:to>
    <xdr:sp>
      <xdr:nvSpPr>
        <xdr:cNvPr id="14" name="Rectangle: Rounded Corners 13"/>
        <xdr:cNvSpPr/>
      </xdr:nvSpPr>
      <xdr:spPr>
        <a:xfrm>
          <a:off x="1449705" y="4292600"/>
          <a:ext cx="1598295" cy="342900"/>
        </a:xfrm>
        <a:prstGeom prst="roundRect">
          <a:avLst/>
        </a:prstGeom>
        <a:solidFill>
          <a:srgbClr val="DCE6F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i="1">
              <a:solidFill>
                <a:srgbClr val="1F4E79"/>
              </a:solidFill>
            </a:rPr>
            <a:t>Burger </a:t>
          </a:r>
          <a:r>
            <a:rPr lang="en-US" sz="1400" b="1" i="1">
              <a:solidFill>
                <a:srgbClr val="1F4E79"/>
              </a:solidFill>
            </a:rPr>
            <a:t>($377K)</a:t>
          </a:r>
          <a:endParaRPr lang="en-US" sz="1400" b="1" i="1">
            <a:solidFill>
              <a:srgbClr val="1F4E79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552450</xdr:colOff>
      <xdr:row>21</xdr:row>
      <xdr:rowOff>127000</xdr:rowOff>
    </xdr:from>
    <xdr:to>
      <xdr:col>9</xdr:col>
      <xdr:colOff>139700</xdr:colOff>
      <xdr:row>22</xdr:row>
      <xdr:rowOff>285750</xdr:rowOff>
    </xdr:to>
    <xdr:sp>
      <xdr:nvSpPr>
        <xdr:cNvPr id="15" name="Rectangle: Rounded Corners 14"/>
        <xdr:cNvSpPr/>
      </xdr:nvSpPr>
      <xdr:spPr>
        <a:xfrm>
          <a:off x="5359400" y="3987800"/>
          <a:ext cx="1880235" cy="336550"/>
        </a:xfrm>
        <a:prstGeom prst="roundRect">
          <a:avLst/>
        </a:prstGeom>
        <a:solidFill>
          <a:srgbClr val="DCE6F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>
              <a:solidFill>
                <a:srgbClr val="1F4E79"/>
              </a:solidFill>
            </a:rPr>
            <a:t>🌆 </a:t>
          </a:r>
          <a:r>
            <a:rPr lang="en-US" sz="1600" b="1">
              <a:solidFill>
                <a:srgbClr val="1F4E79"/>
              </a:solidFill>
            </a:rPr>
            <a:t>Top City:</a:t>
          </a:r>
          <a:endParaRPr lang="en-US" sz="1600" b="1">
            <a:solidFill>
              <a:srgbClr val="1F4E79"/>
            </a:solidFill>
          </a:endParaRPr>
        </a:p>
      </xdr:txBody>
    </xdr:sp>
    <xdr:clientData/>
  </xdr:twoCellAnchor>
  <xdr:twoCellAnchor>
    <xdr:from>
      <xdr:col>7</xdr:col>
      <xdr:colOff>920750</xdr:colOff>
      <xdr:row>22</xdr:row>
      <xdr:rowOff>254000</xdr:rowOff>
    </xdr:from>
    <xdr:to>
      <xdr:col>8</xdr:col>
      <xdr:colOff>673100</xdr:colOff>
      <xdr:row>24</xdr:row>
      <xdr:rowOff>69850</xdr:rowOff>
    </xdr:to>
    <xdr:sp>
      <xdr:nvSpPr>
        <xdr:cNvPr id="16" name="Rectangle: Rounded Corners 15"/>
        <xdr:cNvSpPr/>
      </xdr:nvSpPr>
      <xdr:spPr>
        <a:xfrm>
          <a:off x="5727700" y="4292600"/>
          <a:ext cx="1123950" cy="342900"/>
        </a:xfrm>
        <a:prstGeom prst="roundRect">
          <a:avLst/>
        </a:prstGeom>
        <a:solidFill>
          <a:srgbClr val="DCE6F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 i="1">
              <a:solidFill>
                <a:srgbClr val="1F4E79"/>
              </a:solidFill>
            </a:rPr>
            <a:t>Lisbon</a:t>
          </a:r>
          <a:endParaRPr lang="en-US" sz="1400" b="1" i="1">
            <a:solidFill>
              <a:srgbClr val="1F4E79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260350</xdr:colOff>
      <xdr:row>21</xdr:row>
      <xdr:rowOff>95250</xdr:rowOff>
    </xdr:from>
    <xdr:to>
      <xdr:col>14</xdr:col>
      <xdr:colOff>603250</xdr:colOff>
      <xdr:row>22</xdr:row>
      <xdr:rowOff>285750</xdr:rowOff>
    </xdr:to>
    <xdr:sp>
      <xdr:nvSpPr>
        <xdr:cNvPr id="18" name="Rectangle: Rounded Corners 17"/>
        <xdr:cNvSpPr/>
      </xdr:nvSpPr>
      <xdr:spPr>
        <a:xfrm>
          <a:off x="8731885" y="3956050"/>
          <a:ext cx="2933700" cy="368300"/>
        </a:xfrm>
        <a:prstGeom prst="roundRect">
          <a:avLst/>
        </a:prstGeom>
        <a:solidFill>
          <a:srgbClr val="DCE6F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rgbClr val="1F4E79"/>
              </a:solidFill>
            </a:rPr>
            <a:t>Sales Growth (Dec vs Nov)</a:t>
          </a:r>
          <a:r>
            <a:rPr lang="en-US" sz="1200" b="0" baseline="0">
              <a:solidFill>
                <a:srgbClr val="1F4E79"/>
              </a:solidFill>
            </a:rPr>
            <a:t> </a:t>
          </a:r>
          <a:r>
            <a:rPr lang="en-US" sz="1200">
              <a:solidFill>
                <a:srgbClr val="1F4E79"/>
              </a:solidFill>
            </a:rPr>
            <a:t>📈</a:t>
          </a:r>
          <a:endParaRPr lang="en-US" sz="1200">
            <a:solidFill>
              <a:srgbClr val="1F4E79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71.1214961806" refreshedBy="dee" recordCount="254">
  <cacheSource type="worksheet">
    <worksheetSource name="Table1"/>
  </cacheSource>
  <cacheFields count="14">
    <cacheField name="Order ID" numFmtId="0"/>
    <cacheField name="Date" numFmtId="58">
      <sharedItems containsSemiMixedTypes="0" containsString="0" containsNonDate="0" containsDate="1" minDate="2022-11-07T00:00:00" maxDate="2022-12-29T00:00:00" count="53"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</sharedItems>
    </cacheField>
    <cacheField name="Month" numFmtId="58"/>
    <cacheField name="Product" numFmtId="0">
      <sharedItems count="9">
        <s v="Fries"/>
        <s v="Drink"/>
        <s v="Snack"/>
        <s v="Burger"/>
        <s v="Sandwich"/>
        <s v="Beverages" u="1"/>
        <s v="Sides &amp; Other" u="1"/>
        <s v="Burgers" u="1"/>
        <s v="Chicken Sandwiches" u="1"/>
      </sharedItems>
    </cacheField>
    <cacheField name="Price" numFmtId="179"/>
    <cacheField name="Quantity" numFmtId="1"/>
    <cacheField name="Purchase Type" numFmtId="0">
      <sharedItems count="3">
        <s v="Online"/>
        <s v="In-store"/>
        <s v="Drive-thru"/>
      </sharedItems>
    </cacheField>
    <cacheField name="Payment Method" numFmtId="0">
      <sharedItems count="3">
        <s v="Gift Card"/>
        <s v="Credit Card"/>
        <s v="Cash"/>
      </sharedItems>
    </cacheField>
    <cacheField name="Manager" numFmtId="0">
      <sharedItems count="5">
        <s v="Tom Jackson"/>
        <s v="Pablo Perez"/>
        <s v="Joao Silva"/>
        <s v="Walter Muller"/>
        <s v="Remy Monet"/>
      </sharedItems>
    </cacheField>
    <cacheField name="City" numFmtId="0">
      <sharedItems count="5">
        <s v="London"/>
        <s v="Madrid"/>
        <s v="Lisbon"/>
        <s v="Berlin"/>
        <s v="Paris"/>
      </sharedItems>
    </cacheField>
    <cacheField name="Sales" numFmtId="180"/>
    <cacheField name="Day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ays (Date)" numFmtId="0" databaseField="0">
      <fieldGroup base="1">
        <rangePr groupBy="days" startDate="2022-11-07T00:00:00" endDate="2022-12-30T00:00:00" groupInterval="1"/>
        <groupItems count="368">
          <s v="&lt;07/11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2"/>
        </groupItems>
      </fieldGroup>
    </cacheField>
    <cacheField name="Months (Date)" numFmtId="0" databaseField="0">
      <fieldGroup base="1">
        <rangePr groupBy="months" startDate="2022-11-07T00:00:00" endDate="2022-12-30T00:00:00" groupInterval="1"/>
        <groupItems count="14">
          <s v="&lt;07/11/2022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30/12/20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n v="10452"/>
    <x v="0"/>
    <s v="November"/>
    <x v="0"/>
    <n v="3.49"/>
    <n v="573.07000000000005"/>
    <x v="0"/>
    <x v="0"/>
    <x v="0"/>
    <x v="0"/>
    <n v="2000.0143000000003"/>
    <x v="0"/>
  </r>
  <r>
    <n v="10453"/>
    <x v="0"/>
    <s v="November"/>
    <x v="1"/>
    <n v="2.95"/>
    <n v="745.76"/>
    <x v="0"/>
    <x v="0"/>
    <x v="1"/>
    <x v="1"/>
    <n v="2199.9920000000002"/>
    <x v="1"/>
  </r>
  <r>
    <n v="10454"/>
    <x v="0"/>
    <s v="November"/>
    <x v="2"/>
    <n v="4.99"/>
    <n v="200.4"/>
    <x v="1"/>
    <x v="0"/>
    <x v="2"/>
    <x v="2"/>
    <n v="999.99600000000009"/>
    <x v="2"/>
  </r>
  <r>
    <n v="10455"/>
    <x v="1"/>
    <s v="November"/>
    <x v="3"/>
    <n v="12.99"/>
    <n v="569.66999999999996"/>
    <x v="1"/>
    <x v="1"/>
    <x v="3"/>
    <x v="3"/>
    <n v="7400.0132999999996"/>
    <x v="3"/>
  </r>
  <r>
    <n v="10456"/>
    <x v="1"/>
    <s v="November"/>
    <x v="4"/>
    <n v="9.9499999999999993"/>
    <n v="201.01"/>
    <x v="1"/>
    <x v="1"/>
    <x v="3"/>
    <x v="3"/>
    <n v="2000.0494999999999"/>
    <x v="4"/>
  </r>
  <r>
    <n v="10457"/>
    <x v="1"/>
    <s v="November"/>
    <x v="0"/>
    <n v="3.49"/>
    <n v="573.07000000000005"/>
    <x v="1"/>
    <x v="1"/>
    <x v="4"/>
    <x v="4"/>
    <n v="2000.0143000000003"/>
    <x v="5"/>
  </r>
  <r>
    <n v="10459"/>
    <x v="1"/>
    <s v="November"/>
    <x v="2"/>
    <n v="4.99"/>
    <n v="200.4"/>
    <x v="1"/>
    <x v="1"/>
    <x v="3"/>
    <x v="3"/>
    <n v="999.99600000000009"/>
    <x v="0"/>
  </r>
  <r>
    <n v="10460"/>
    <x v="2"/>
    <s v="November"/>
    <x v="3"/>
    <n v="12.99"/>
    <n v="554.27"/>
    <x v="1"/>
    <x v="1"/>
    <x v="4"/>
    <x v="4"/>
    <n v="7199.9673000000003"/>
    <x v="1"/>
  </r>
  <r>
    <n v="10461"/>
    <x v="2"/>
    <s v="November"/>
    <x v="4"/>
    <n v="9.9499999999999993"/>
    <n v="201.01"/>
    <x v="1"/>
    <x v="1"/>
    <x v="4"/>
    <x v="4"/>
    <n v="2000.0494999999999"/>
    <x v="2"/>
  </r>
  <r>
    <n v="10462"/>
    <x v="2"/>
    <s v="November"/>
    <x v="0"/>
    <n v="3.49"/>
    <n v="573.07000000000005"/>
    <x v="1"/>
    <x v="1"/>
    <x v="4"/>
    <x v="4"/>
    <n v="2000.0143000000003"/>
    <x v="3"/>
  </r>
  <r>
    <n v="10463"/>
    <x v="2"/>
    <s v="November"/>
    <x v="1"/>
    <n v="2.95"/>
    <n v="677.97"/>
    <x v="1"/>
    <x v="1"/>
    <x v="4"/>
    <x v="4"/>
    <n v="2000.0115000000003"/>
    <x v="4"/>
  </r>
  <r>
    <n v="10464"/>
    <x v="2"/>
    <s v="November"/>
    <x v="2"/>
    <n v="4.99"/>
    <n v="200.4"/>
    <x v="1"/>
    <x v="1"/>
    <x v="4"/>
    <x v="4"/>
    <n v="999.99600000000009"/>
    <x v="5"/>
  </r>
  <r>
    <n v="10465"/>
    <x v="3"/>
    <s v="November"/>
    <x v="3"/>
    <n v="12.99"/>
    <n v="554.27"/>
    <x v="1"/>
    <x v="1"/>
    <x v="1"/>
    <x v="1"/>
    <n v="7199.9673000000003"/>
    <x v="6"/>
  </r>
  <r>
    <n v="10466"/>
    <x v="3"/>
    <s v="November"/>
    <x v="4"/>
    <n v="9.9499999999999993"/>
    <n v="201.01"/>
    <x v="1"/>
    <x v="1"/>
    <x v="1"/>
    <x v="1"/>
    <n v="2000.0494999999999"/>
    <x v="0"/>
  </r>
  <r>
    <n v="10467"/>
    <x v="3"/>
    <s v="November"/>
    <x v="0"/>
    <n v="3.49"/>
    <n v="573.07000000000005"/>
    <x v="1"/>
    <x v="1"/>
    <x v="1"/>
    <x v="1"/>
    <n v="2000.0143000000003"/>
    <x v="1"/>
  </r>
  <r>
    <n v="10468"/>
    <x v="3"/>
    <s v="November"/>
    <x v="1"/>
    <n v="2.95"/>
    <n v="677.97"/>
    <x v="1"/>
    <x v="1"/>
    <x v="1"/>
    <x v="1"/>
    <n v="2000.0115000000003"/>
    <x v="2"/>
  </r>
  <r>
    <n v="10470"/>
    <x v="4"/>
    <s v="November"/>
    <x v="3"/>
    <n v="12.99"/>
    <n v="554.27"/>
    <x v="1"/>
    <x v="1"/>
    <x v="1"/>
    <x v="1"/>
    <n v="7199.9673000000003"/>
    <x v="4"/>
  </r>
  <r>
    <n v="10471"/>
    <x v="4"/>
    <s v="November"/>
    <x v="4"/>
    <n v="9.9499999999999993"/>
    <n v="201.01"/>
    <x v="1"/>
    <x v="1"/>
    <x v="1"/>
    <x v="1"/>
    <n v="2000.0494999999999"/>
    <x v="5"/>
  </r>
  <r>
    <n v="10472"/>
    <x v="4"/>
    <s v="November"/>
    <x v="0"/>
    <n v="3.49"/>
    <n v="630.37"/>
    <x v="1"/>
    <x v="1"/>
    <x v="1"/>
    <x v="1"/>
    <n v="2199.9913000000001"/>
    <x v="6"/>
  </r>
  <r>
    <n v="10473"/>
    <x v="4"/>
    <s v="November"/>
    <x v="1"/>
    <n v="2.95"/>
    <n v="677.97"/>
    <x v="1"/>
    <x v="1"/>
    <x v="1"/>
    <x v="1"/>
    <n v="2000.0115000000003"/>
    <x v="0"/>
  </r>
  <r>
    <n v="10474"/>
    <x v="4"/>
    <s v="November"/>
    <x v="2"/>
    <n v="4.99"/>
    <n v="200.4"/>
    <x v="1"/>
    <x v="1"/>
    <x v="1"/>
    <x v="1"/>
    <n v="999.99600000000009"/>
    <x v="1"/>
  </r>
  <r>
    <n v="10475"/>
    <x v="5"/>
    <s v="November"/>
    <x v="3"/>
    <n v="12.99"/>
    <n v="523.48"/>
    <x v="1"/>
    <x v="1"/>
    <x v="1"/>
    <x v="1"/>
    <n v="6800.0052000000005"/>
    <x v="2"/>
  </r>
  <r>
    <n v="10476"/>
    <x v="5"/>
    <s v="November"/>
    <x v="4"/>
    <n v="9.9499999999999993"/>
    <n v="201.01"/>
    <x v="1"/>
    <x v="1"/>
    <x v="1"/>
    <x v="1"/>
    <n v="2000.0494999999999"/>
    <x v="3"/>
  </r>
  <r>
    <n v="10477"/>
    <x v="5"/>
    <s v="November"/>
    <x v="0"/>
    <n v="3.49"/>
    <n v="630.37"/>
    <x v="1"/>
    <x v="1"/>
    <x v="1"/>
    <x v="1"/>
    <n v="2199.9913000000001"/>
    <x v="4"/>
  </r>
  <r>
    <n v="10478"/>
    <x v="5"/>
    <s v="November"/>
    <x v="1"/>
    <n v="2.95"/>
    <n v="677.97"/>
    <x v="1"/>
    <x v="1"/>
    <x v="1"/>
    <x v="1"/>
    <n v="2000.0115000000003"/>
    <x v="5"/>
  </r>
  <r>
    <n v="10479"/>
    <x v="5"/>
    <s v="November"/>
    <x v="2"/>
    <n v="4.99"/>
    <n v="200.4"/>
    <x v="1"/>
    <x v="1"/>
    <x v="1"/>
    <x v="1"/>
    <n v="999.99600000000009"/>
    <x v="6"/>
  </r>
  <r>
    <n v="10480"/>
    <x v="6"/>
    <s v="November"/>
    <x v="3"/>
    <n v="12.99"/>
    <n v="508.08"/>
    <x v="1"/>
    <x v="1"/>
    <x v="1"/>
    <x v="1"/>
    <n v="6599.9592000000002"/>
    <x v="0"/>
  </r>
  <r>
    <n v="10481"/>
    <x v="6"/>
    <s v="November"/>
    <x v="4"/>
    <n v="9.9499999999999993"/>
    <n v="201.01"/>
    <x v="1"/>
    <x v="1"/>
    <x v="1"/>
    <x v="1"/>
    <n v="2000.0494999999999"/>
    <x v="1"/>
  </r>
  <r>
    <n v="10482"/>
    <x v="6"/>
    <s v="November"/>
    <x v="0"/>
    <n v="25.5"/>
    <n v="630.37"/>
    <x v="1"/>
    <x v="1"/>
    <x v="2"/>
    <x v="2"/>
    <n v="16074.434999999999"/>
    <x v="2"/>
  </r>
  <r>
    <n v="10486"/>
    <x v="7"/>
    <s v="November"/>
    <x v="4"/>
    <n v="29.05"/>
    <n v="201.01"/>
    <x v="1"/>
    <x v="1"/>
    <x v="2"/>
    <x v="2"/>
    <n v="5839.3405000000002"/>
    <x v="6"/>
  </r>
  <r>
    <n v="10487"/>
    <x v="7"/>
    <s v="November"/>
    <x v="0"/>
    <n v="3.49"/>
    <n v="630.37"/>
    <x v="1"/>
    <x v="1"/>
    <x v="2"/>
    <x v="2"/>
    <n v="2199.9913000000001"/>
    <x v="0"/>
  </r>
  <r>
    <n v="10488"/>
    <x v="7"/>
    <s v="November"/>
    <x v="1"/>
    <n v="2.95"/>
    <n v="677.97"/>
    <x v="1"/>
    <x v="1"/>
    <x v="2"/>
    <x v="2"/>
    <n v="2000.0115000000003"/>
    <x v="1"/>
  </r>
  <r>
    <n v="10489"/>
    <x v="7"/>
    <s v="November"/>
    <x v="2"/>
    <n v="4.99"/>
    <n v="200.4"/>
    <x v="1"/>
    <x v="1"/>
    <x v="1"/>
    <x v="1"/>
    <n v="999.99600000000009"/>
    <x v="2"/>
  </r>
  <r>
    <n v="10490"/>
    <x v="8"/>
    <s v="November"/>
    <x v="3"/>
    <n v="12.99"/>
    <n v="508.08"/>
    <x v="1"/>
    <x v="1"/>
    <x v="1"/>
    <x v="1"/>
    <n v="6599.9592000000002"/>
    <x v="3"/>
  </r>
  <r>
    <n v="10491"/>
    <x v="8"/>
    <s v="November"/>
    <x v="4"/>
    <n v="9.9499999999999993"/>
    <n v="201.01"/>
    <x v="1"/>
    <x v="1"/>
    <x v="1"/>
    <x v="1"/>
    <n v="2000.0494999999999"/>
    <x v="4"/>
  </r>
  <r>
    <n v="10492"/>
    <x v="8"/>
    <s v="November"/>
    <x v="0"/>
    <n v="3.49"/>
    <n v="573.07000000000005"/>
    <x v="1"/>
    <x v="1"/>
    <x v="1"/>
    <x v="1"/>
    <n v="2000.0143000000003"/>
    <x v="5"/>
  </r>
  <r>
    <n v="10493"/>
    <x v="8"/>
    <s v="November"/>
    <x v="1"/>
    <n v="2.95"/>
    <n v="677.97"/>
    <x v="1"/>
    <x v="1"/>
    <x v="1"/>
    <x v="1"/>
    <n v="2000.0115000000003"/>
    <x v="6"/>
  </r>
  <r>
    <n v="10494"/>
    <x v="8"/>
    <s v="November"/>
    <x v="2"/>
    <n v="4.99"/>
    <n v="200.4"/>
    <x v="1"/>
    <x v="1"/>
    <x v="1"/>
    <x v="1"/>
    <n v="999.99600000000009"/>
    <x v="0"/>
  </r>
  <r>
    <n v="10495"/>
    <x v="9"/>
    <s v="November"/>
    <x v="3"/>
    <n v="12.99"/>
    <n v="508.08"/>
    <x v="1"/>
    <x v="1"/>
    <x v="1"/>
    <x v="1"/>
    <n v="6599.9592000000002"/>
    <x v="1"/>
  </r>
  <r>
    <n v="10496"/>
    <x v="9"/>
    <s v="November"/>
    <x v="4"/>
    <n v="9.9499999999999993"/>
    <n v="201.01"/>
    <x v="1"/>
    <x v="1"/>
    <x v="1"/>
    <x v="1"/>
    <n v="2000.0494999999999"/>
    <x v="2"/>
  </r>
  <r>
    <n v="10497"/>
    <x v="9"/>
    <s v="November"/>
    <x v="0"/>
    <n v="3.49"/>
    <n v="573.07000000000005"/>
    <x v="1"/>
    <x v="1"/>
    <x v="1"/>
    <x v="1"/>
    <n v="2000.0143000000003"/>
    <x v="3"/>
  </r>
  <r>
    <n v="10498"/>
    <x v="9"/>
    <s v="November"/>
    <x v="1"/>
    <n v="2.95"/>
    <n v="677.97"/>
    <x v="2"/>
    <x v="1"/>
    <x v="1"/>
    <x v="1"/>
    <n v="2000.0115000000003"/>
    <x v="4"/>
  </r>
  <r>
    <n v="10499"/>
    <x v="9"/>
    <s v="November"/>
    <x v="2"/>
    <n v="4.99"/>
    <n v="200.4"/>
    <x v="2"/>
    <x v="1"/>
    <x v="1"/>
    <x v="1"/>
    <n v="999.99600000000009"/>
    <x v="5"/>
  </r>
  <r>
    <n v="10500"/>
    <x v="10"/>
    <s v="November"/>
    <x v="3"/>
    <n v="12.99"/>
    <n v="523.48"/>
    <x v="2"/>
    <x v="1"/>
    <x v="1"/>
    <x v="1"/>
    <n v="6800.0052000000005"/>
    <x v="6"/>
  </r>
  <r>
    <n v="10501"/>
    <x v="10"/>
    <s v="November"/>
    <x v="4"/>
    <n v="9.9499999999999993"/>
    <n v="201.01"/>
    <x v="2"/>
    <x v="1"/>
    <x v="1"/>
    <x v="1"/>
    <n v="2000.0494999999999"/>
    <x v="0"/>
  </r>
  <r>
    <n v="10502"/>
    <x v="10"/>
    <s v="November"/>
    <x v="0"/>
    <n v="3.49"/>
    <n v="630.37"/>
    <x v="2"/>
    <x v="1"/>
    <x v="1"/>
    <x v="1"/>
    <n v="2199.9913000000001"/>
    <x v="1"/>
  </r>
  <r>
    <n v="10503"/>
    <x v="10"/>
    <s v="November"/>
    <x v="1"/>
    <n v="2.95"/>
    <n v="677.97"/>
    <x v="2"/>
    <x v="1"/>
    <x v="1"/>
    <x v="1"/>
    <n v="2000.0115000000003"/>
    <x v="2"/>
  </r>
  <r>
    <n v="10504"/>
    <x v="10"/>
    <s v="November"/>
    <x v="2"/>
    <n v="4.99"/>
    <n v="200.4"/>
    <x v="2"/>
    <x v="1"/>
    <x v="1"/>
    <x v="1"/>
    <n v="999.99600000000009"/>
    <x v="3"/>
  </r>
  <r>
    <n v="10505"/>
    <x v="11"/>
    <s v="November"/>
    <x v="3"/>
    <n v="12.99"/>
    <n v="538.88"/>
    <x v="2"/>
    <x v="1"/>
    <x v="1"/>
    <x v="1"/>
    <n v="7000.0511999999999"/>
    <x v="4"/>
  </r>
  <r>
    <n v="10506"/>
    <x v="11"/>
    <s v="November"/>
    <x v="4"/>
    <n v="9.9499999999999993"/>
    <n v="201.01"/>
    <x v="2"/>
    <x v="1"/>
    <x v="1"/>
    <x v="1"/>
    <n v="2000.0494999999999"/>
    <x v="5"/>
  </r>
  <r>
    <n v="10507"/>
    <x v="11"/>
    <s v="November"/>
    <x v="0"/>
    <n v="3.49"/>
    <n v="687.68"/>
    <x v="2"/>
    <x v="1"/>
    <x v="1"/>
    <x v="1"/>
    <n v="2400.0032000000001"/>
    <x v="6"/>
  </r>
  <r>
    <n v="10508"/>
    <x v="11"/>
    <s v="November"/>
    <x v="1"/>
    <n v="2.95"/>
    <n v="677.97"/>
    <x v="2"/>
    <x v="1"/>
    <x v="1"/>
    <x v="1"/>
    <n v="2000.0115000000003"/>
    <x v="0"/>
  </r>
  <r>
    <n v="10509"/>
    <x v="11"/>
    <s v="November"/>
    <x v="2"/>
    <n v="4.99"/>
    <n v="200.4"/>
    <x v="2"/>
    <x v="1"/>
    <x v="1"/>
    <x v="1"/>
    <n v="999.99600000000009"/>
    <x v="1"/>
  </r>
  <r>
    <n v="10510"/>
    <x v="12"/>
    <s v="November"/>
    <x v="3"/>
    <n v="12.99"/>
    <n v="508.08"/>
    <x v="2"/>
    <x v="1"/>
    <x v="1"/>
    <x v="1"/>
    <n v="6599.9592000000002"/>
    <x v="2"/>
  </r>
  <r>
    <n v="10511"/>
    <x v="12"/>
    <s v="November"/>
    <x v="4"/>
    <n v="9.9499999999999993"/>
    <n v="201.01"/>
    <x v="2"/>
    <x v="1"/>
    <x v="2"/>
    <x v="2"/>
    <n v="2000.0494999999999"/>
    <x v="3"/>
  </r>
  <r>
    <n v="10512"/>
    <x v="12"/>
    <s v="November"/>
    <x v="0"/>
    <n v="3.49"/>
    <n v="687.68"/>
    <x v="2"/>
    <x v="1"/>
    <x v="2"/>
    <x v="2"/>
    <n v="2400.0032000000001"/>
    <x v="4"/>
  </r>
  <r>
    <n v="10513"/>
    <x v="12"/>
    <s v="November"/>
    <x v="1"/>
    <n v="2.95"/>
    <n v="677.97"/>
    <x v="2"/>
    <x v="2"/>
    <x v="2"/>
    <x v="2"/>
    <n v="2000.0115000000003"/>
    <x v="5"/>
  </r>
  <r>
    <n v="10514"/>
    <x v="12"/>
    <s v="November"/>
    <x v="2"/>
    <n v="4.99"/>
    <n v="200.4"/>
    <x v="2"/>
    <x v="2"/>
    <x v="2"/>
    <x v="2"/>
    <n v="999.99600000000009"/>
    <x v="6"/>
  </r>
  <r>
    <n v="10515"/>
    <x v="13"/>
    <s v="November"/>
    <x v="3"/>
    <n v="12.99"/>
    <n v="477.29"/>
    <x v="2"/>
    <x v="2"/>
    <x v="2"/>
    <x v="2"/>
    <n v="6199.9971000000005"/>
    <x v="0"/>
  </r>
  <r>
    <n v="10516"/>
    <x v="13"/>
    <s v="November"/>
    <x v="4"/>
    <n v="9.9499999999999993"/>
    <n v="201.01"/>
    <x v="2"/>
    <x v="2"/>
    <x v="2"/>
    <x v="2"/>
    <n v="2000.0494999999999"/>
    <x v="1"/>
  </r>
  <r>
    <n v="10483"/>
    <x v="6"/>
    <s v="November"/>
    <x v="1"/>
    <n v="2.95"/>
    <n v="677.97"/>
    <x v="1"/>
    <x v="1"/>
    <x v="2"/>
    <x v="2"/>
    <n v="2000.0115000000003"/>
    <x v="3"/>
  </r>
  <r>
    <n v="10484"/>
    <x v="6"/>
    <s v="November"/>
    <x v="2"/>
    <n v="4.99"/>
    <n v="200.4"/>
    <x v="1"/>
    <x v="1"/>
    <x v="2"/>
    <x v="2"/>
    <n v="999.99600000000009"/>
    <x v="4"/>
  </r>
  <r>
    <n v="10485"/>
    <x v="7"/>
    <s v="November"/>
    <x v="3"/>
    <n v="12.99"/>
    <n v="523.48"/>
    <x v="1"/>
    <x v="1"/>
    <x v="2"/>
    <x v="2"/>
    <n v="6800.0052000000005"/>
    <x v="5"/>
  </r>
  <r>
    <n v="10520"/>
    <x v="14"/>
    <s v="November"/>
    <x v="3"/>
    <n v="12.99"/>
    <n v="492.69"/>
    <x v="2"/>
    <x v="2"/>
    <x v="4"/>
    <x v="4"/>
    <n v="6400.0430999999999"/>
    <x v="5"/>
  </r>
  <r>
    <n v="10521"/>
    <x v="14"/>
    <s v="November"/>
    <x v="4"/>
    <n v="9.9499999999999993"/>
    <n v="201.01"/>
    <x v="2"/>
    <x v="2"/>
    <x v="4"/>
    <x v="4"/>
    <n v="2000.0494999999999"/>
    <x v="6"/>
  </r>
  <r>
    <n v="10522"/>
    <x v="14"/>
    <s v="November"/>
    <x v="0"/>
    <n v="3.49"/>
    <n v="687.68"/>
    <x v="2"/>
    <x v="2"/>
    <x v="4"/>
    <x v="4"/>
    <n v="2400.0032000000001"/>
    <x v="0"/>
  </r>
  <r>
    <n v="10523"/>
    <x v="14"/>
    <s v="November"/>
    <x v="1"/>
    <n v="2.95"/>
    <n v="745.76"/>
    <x v="2"/>
    <x v="2"/>
    <x v="4"/>
    <x v="4"/>
    <n v="2199.9920000000002"/>
    <x v="1"/>
  </r>
  <r>
    <n v="10524"/>
    <x v="14"/>
    <s v="November"/>
    <x v="2"/>
    <n v="4.99"/>
    <n v="200.4"/>
    <x v="2"/>
    <x v="2"/>
    <x v="4"/>
    <x v="4"/>
    <n v="999.99600000000009"/>
    <x v="2"/>
  </r>
  <r>
    <n v="10525"/>
    <x v="15"/>
    <s v="November"/>
    <x v="3"/>
    <n v="12.99"/>
    <n v="461.89"/>
    <x v="2"/>
    <x v="2"/>
    <x v="4"/>
    <x v="4"/>
    <n v="5999.9511000000002"/>
    <x v="3"/>
  </r>
  <r>
    <n v="10526"/>
    <x v="15"/>
    <s v="November"/>
    <x v="4"/>
    <n v="9.9499999999999993"/>
    <n v="201.01"/>
    <x v="2"/>
    <x v="2"/>
    <x v="4"/>
    <x v="4"/>
    <n v="2000.0494999999999"/>
    <x v="4"/>
  </r>
  <r>
    <n v="10527"/>
    <x v="15"/>
    <s v="November"/>
    <x v="0"/>
    <n v="3.49"/>
    <n v="687.68"/>
    <x v="2"/>
    <x v="2"/>
    <x v="4"/>
    <x v="4"/>
    <n v="2400.0032000000001"/>
    <x v="5"/>
  </r>
  <r>
    <n v="10528"/>
    <x v="15"/>
    <s v="November"/>
    <x v="1"/>
    <n v="2.95"/>
    <n v="745.76"/>
    <x v="2"/>
    <x v="2"/>
    <x v="4"/>
    <x v="4"/>
    <n v="2199.9920000000002"/>
    <x v="6"/>
  </r>
  <r>
    <n v="10529"/>
    <x v="15"/>
    <s v="November"/>
    <x v="2"/>
    <n v="4.99"/>
    <n v="200.4"/>
    <x v="2"/>
    <x v="2"/>
    <x v="4"/>
    <x v="4"/>
    <n v="999.99600000000009"/>
    <x v="0"/>
  </r>
  <r>
    <n v="10530"/>
    <x v="16"/>
    <s v="November"/>
    <x v="3"/>
    <n v="12.99"/>
    <n v="477.29"/>
    <x v="2"/>
    <x v="2"/>
    <x v="4"/>
    <x v="4"/>
    <n v="6199.9971000000005"/>
    <x v="1"/>
  </r>
  <r>
    <n v="10531"/>
    <x v="16"/>
    <s v="November"/>
    <x v="4"/>
    <n v="9.9499999999999993"/>
    <n v="201.01"/>
    <x v="2"/>
    <x v="2"/>
    <x v="4"/>
    <x v="4"/>
    <n v="2000.0494999999999"/>
    <x v="2"/>
  </r>
  <r>
    <n v="10532"/>
    <x v="16"/>
    <s v="November"/>
    <x v="0"/>
    <n v="3.49"/>
    <n v="687.68"/>
    <x v="2"/>
    <x v="2"/>
    <x v="2"/>
    <x v="2"/>
    <n v="2400.0032000000001"/>
    <x v="3"/>
  </r>
  <r>
    <n v="10533"/>
    <x v="16"/>
    <s v="November"/>
    <x v="1"/>
    <n v="2.95"/>
    <n v="745.76"/>
    <x v="2"/>
    <x v="2"/>
    <x v="2"/>
    <x v="2"/>
    <n v="2199.9920000000002"/>
    <x v="4"/>
  </r>
  <r>
    <n v="10534"/>
    <x v="16"/>
    <s v="November"/>
    <x v="2"/>
    <n v="4.99"/>
    <n v="200.4"/>
    <x v="2"/>
    <x v="2"/>
    <x v="1"/>
    <x v="1"/>
    <n v="999.99600000000009"/>
    <x v="5"/>
  </r>
  <r>
    <n v="10535"/>
    <x v="17"/>
    <s v="November"/>
    <x v="3"/>
    <n v="12.99"/>
    <n v="477.29"/>
    <x v="2"/>
    <x v="1"/>
    <x v="1"/>
    <x v="1"/>
    <n v="6199.9971000000005"/>
    <x v="6"/>
  </r>
  <r>
    <n v="10536"/>
    <x v="17"/>
    <s v="November"/>
    <x v="4"/>
    <n v="9.9499999999999993"/>
    <n v="201.01"/>
    <x v="2"/>
    <x v="1"/>
    <x v="1"/>
    <x v="1"/>
    <n v="2000.0494999999999"/>
    <x v="0"/>
  </r>
  <r>
    <n v="10540"/>
    <x v="18"/>
    <s v="November"/>
    <x v="3"/>
    <n v="12.99"/>
    <n v="461.89"/>
    <x v="2"/>
    <x v="1"/>
    <x v="1"/>
    <x v="1"/>
    <n v="5999.9511000000002"/>
    <x v="4"/>
  </r>
  <r>
    <n v="10541"/>
    <x v="18"/>
    <s v="November"/>
    <x v="4"/>
    <n v="9.9499999999999993"/>
    <n v="201.01"/>
    <x v="2"/>
    <x v="1"/>
    <x v="0"/>
    <x v="0"/>
    <n v="2000.0494999999999"/>
    <x v="5"/>
  </r>
  <r>
    <n v="10542"/>
    <x v="18"/>
    <s v="November"/>
    <x v="0"/>
    <n v="3.49"/>
    <n v="630.37"/>
    <x v="2"/>
    <x v="1"/>
    <x v="0"/>
    <x v="0"/>
    <n v="2199.9913000000001"/>
    <x v="6"/>
  </r>
  <r>
    <n v="10543"/>
    <x v="18"/>
    <s v="November"/>
    <x v="1"/>
    <n v="2.95"/>
    <n v="745.76"/>
    <x v="2"/>
    <x v="1"/>
    <x v="0"/>
    <x v="0"/>
    <n v="2199.9920000000002"/>
    <x v="0"/>
  </r>
  <r>
    <n v="10544"/>
    <x v="18"/>
    <s v="November"/>
    <x v="2"/>
    <n v="4.99"/>
    <n v="200.4"/>
    <x v="2"/>
    <x v="1"/>
    <x v="0"/>
    <x v="0"/>
    <n v="999.99600000000009"/>
    <x v="1"/>
  </r>
  <r>
    <n v="10545"/>
    <x v="19"/>
    <s v="November"/>
    <x v="3"/>
    <n v="12.99"/>
    <n v="446.5"/>
    <x v="2"/>
    <x v="1"/>
    <x v="0"/>
    <x v="0"/>
    <n v="5800.0349999999999"/>
    <x v="2"/>
  </r>
  <r>
    <n v="10546"/>
    <x v="19"/>
    <s v="November"/>
    <x v="4"/>
    <n v="9.9499999999999993"/>
    <n v="201.01"/>
    <x v="2"/>
    <x v="1"/>
    <x v="0"/>
    <x v="0"/>
    <n v="2000.0494999999999"/>
    <x v="3"/>
  </r>
  <r>
    <n v="10547"/>
    <x v="19"/>
    <s v="November"/>
    <x v="0"/>
    <n v="3.49"/>
    <n v="630.37"/>
    <x v="2"/>
    <x v="1"/>
    <x v="0"/>
    <x v="0"/>
    <n v="2199.9913000000001"/>
    <x v="4"/>
  </r>
  <r>
    <n v="10548"/>
    <x v="19"/>
    <s v="November"/>
    <x v="1"/>
    <n v="2.95"/>
    <n v="745.76"/>
    <x v="2"/>
    <x v="1"/>
    <x v="0"/>
    <x v="0"/>
    <n v="2199.9920000000002"/>
    <x v="5"/>
  </r>
  <r>
    <n v="10549"/>
    <x v="19"/>
    <s v="November"/>
    <x v="2"/>
    <n v="4.99"/>
    <n v="200.4"/>
    <x v="2"/>
    <x v="1"/>
    <x v="0"/>
    <x v="0"/>
    <n v="999.99600000000009"/>
    <x v="6"/>
  </r>
  <r>
    <n v="10550"/>
    <x v="20"/>
    <s v="November"/>
    <x v="3"/>
    <n v="12.99"/>
    <n v="461.89"/>
    <x v="2"/>
    <x v="1"/>
    <x v="0"/>
    <x v="0"/>
    <n v="5999.9511000000002"/>
    <x v="0"/>
  </r>
  <r>
    <n v="10551"/>
    <x v="20"/>
    <s v="November"/>
    <x v="4"/>
    <n v="9.9499999999999993"/>
    <n v="201.01"/>
    <x v="2"/>
    <x v="1"/>
    <x v="0"/>
    <x v="0"/>
    <n v="2000.0494999999999"/>
    <x v="1"/>
  </r>
  <r>
    <n v="10552"/>
    <x v="20"/>
    <s v="November"/>
    <x v="0"/>
    <n v="3.49"/>
    <n v="630.37"/>
    <x v="0"/>
    <x v="1"/>
    <x v="0"/>
    <x v="0"/>
    <n v="2199.9913000000001"/>
    <x v="2"/>
  </r>
  <r>
    <n v="10553"/>
    <x v="20"/>
    <s v="November"/>
    <x v="1"/>
    <n v="2.95"/>
    <n v="745.76"/>
    <x v="0"/>
    <x v="1"/>
    <x v="0"/>
    <x v="0"/>
    <n v="2199.9920000000002"/>
    <x v="3"/>
  </r>
  <r>
    <n v="10554"/>
    <x v="20"/>
    <s v="November"/>
    <x v="2"/>
    <n v="4.99"/>
    <n v="200.4"/>
    <x v="0"/>
    <x v="1"/>
    <x v="0"/>
    <x v="0"/>
    <n v="999.99600000000009"/>
    <x v="4"/>
  </r>
  <r>
    <n v="10555"/>
    <x v="21"/>
    <s v="November"/>
    <x v="3"/>
    <n v="12.99"/>
    <n v="477.29"/>
    <x v="0"/>
    <x v="1"/>
    <x v="0"/>
    <x v="0"/>
    <n v="6199.9971000000005"/>
    <x v="5"/>
  </r>
  <r>
    <n v="10556"/>
    <x v="21"/>
    <s v="November"/>
    <x v="4"/>
    <n v="9.9499999999999993"/>
    <n v="201.01"/>
    <x v="0"/>
    <x v="1"/>
    <x v="0"/>
    <x v="0"/>
    <n v="2000.0494999999999"/>
    <x v="6"/>
  </r>
  <r>
    <n v="10557"/>
    <x v="21"/>
    <s v="November"/>
    <x v="0"/>
    <n v="3.49"/>
    <n v="630.37"/>
    <x v="0"/>
    <x v="1"/>
    <x v="0"/>
    <x v="0"/>
    <n v="2199.9913000000001"/>
    <x v="0"/>
  </r>
  <r>
    <n v="10558"/>
    <x v="21"/>
    <s v="November"/>
    <x v="1"/>
    <n v="2.95"/>
    <n v="677.97"/>
    <x v="0"/>
    <x v="1"/>
    <x v="0"/>
    <x v="0"/>
    <n v="2000.0115000000003"/>
    <x v="1"/>
  </r>
  <r>
    <n v="10559"/>
    <x v="21"/>
    <s v="November"/>
    <x v="2"/>
    <n v="4.99"/>
    <n v="200.4"/>
    <x v="0"/>
    <x v="1"/>
    <x v="0"/>
    <x v="0"/>
    <n v="999.99600000000009"/>
    <x v="2"/>
  </r>
  <r>
    <n v="10560"/>
    <x v="22"/>
    <s v="November"/>
    <x v="3"/>
    <n v="12.99"/>
    <n v="477.29"/>
    <x v="0"/>
    <x v="1"/>
    <x v="0"/>
    <x v="0"/>
    <n v="6199.9971000000005"/>
    <x v="3"/>
  </r>
  <r>
    <n v="10561"/>
    <x v="22"/>
    <s v="November"/>
    <x v="4"/>
    <n v="9.9499999999999993"/>
    <n v="201.01"/>
    <x v="0"/>
    <x v="1"/>
    <x v="0"/>
    <x v="0"/>
    <n v="2000.0494999999999"/>
    <x v="4"/>
  </r>
  <r>
    <n v="10562"/>
    <x v="22"/>
    <s v="November"/>
    <x v="0"/>
    <n v="3.49"/>
    <n v="630.37"/>
    <x v="0"/>
    <x v="1"/>
    <x v="0"/>
    <x v="0"/>
    <n v="2199.9913000000001"/>
    <x v="5"/>
  </r>
  <r>
    <n v="10563"/>
    <x v="22"/>
    <s v="November"/>
    <x v="1"/>
    <n v="2.95"/>
    <n v="677.97"/>
    <x v="0"/>
    <x v="1"/>
    <x v="0"/>
    <x v="0"/>
    <n v="2000.0115000000003"/>
    <x v="6"/>
  </r>
  <r>
    <n v="10564"/>
    <x v="22"/>
    <s v="November"/>
    <x v="2"/>
    <n v="4.99"/>
    <n v="200.4"/>
    <x v="0"/>
    <x v="1"/>
    <x v="0"/>
    <x v="0"/>
    <n v="999.99600000000009"/>
    <x v="0"/>
  </r>
  <r>
    <n v="10565"/>
    <x v="23"/>
    <s v="November"/>
    <x v="3"/>
    <n v="12.99"/>
    <n v="492.69"/>
    <x v="0"/>
    <x v="1"/>
    <x v="0"/>
    <x v="0"/>
    <n v="6400.0430999999999"/>
    <x v="1"/>
  </r>
  <r>
    <n v="10566"/>
    <x v="23"/>
    <s v="November"/>
    <x v="4"/>
    <n v="9.9499999999999993"/>
    <n v="201.01"/>
    <x v="0"/>
    <x v="1"/>
    <x v="0"/>
    <x v="0"/>
    <n v="2000.0494999999999"/>
    <x v="2"/>
  </r>
  <r>
    <n v="10567"/>
    <x v="23"/>
    <s v="November"/>
    <x v="0"/>
    <n v="3.49"/>
    <n v="630.37"/>
    <x v="0"/>
    <x v="1"/>
    <x v="0"/>
    <x v="0"/>
    <n v="2199.9913000000001"/>
    <x v="3"/>
  </r>
  <r>
    <n v="10568"/>
    <x v="23"/>
    <s v="November"/>
    <x v="1"/>
    <n v="2.95"/>
    <n v="677.97"/>
    <x v="0"/>
    <x v="1"/>
    <x v="0"/>
    <x v="0"/>
    <n v="2000.0115000000003"/>
    <x v="4"/>
  </r>
  <r>
    <n v="10569"/>
    <x v="23"/>
    <s v="November"/>
    <x v="2"/>
    <n v="4.99"/>
    <n v="200.4"/>
    <x v="0"/>
    <x v="1"/>
    <x v="0"/>
    <x v="0"/>
    <n v="999.99600000000009"/>
    <x v="5"/>
  </r>
  <r>
    <n v="10570"/>
    <x v="24"/>
    <s v="December"/>
    <x v="3"/>
    <n v="12.99"/>
    <n v="492.69"/>
    <x v="0"/>
    <x v="1"/>
    <x v="0"/>
    <x v="0"/>
    <n v="6400.0430999999999"/>
    <x v="6"/>
  </r>
  <r>
    <n v="10571"/>
    <x v="24"/>
    <s v="December"/>
    <x v="4"/>
    <n v="9.9499999999999993"/>
    <n v="201.01"/>
    <x v="0"/>
    <x v="1"/>
    <x v="0"/>
    <x v="0"/>
    <n v="2000.0494999999999"/>
    <x v="0"/>
  </r>
  <r>
    <n v="10572"/>
    <x v="24"/>
    <s v="December"/>
    <x v="0"/>
    <n v="3.49"/>
    <n v="573.07000000000005"/>
    <x v="0"/>
    <x v="1"/>
    <x v="4"/>
    <x v="4"/>
    <n v="2000.0143000000003"/>
    <x v="1"/>
  </r>
  <r>
    <n v="10573"/>
    <x v="24"/>
    <s v="December"/>
    <x v="1"/>
    <n v="2.95"/>
    <n v="677.97"/>
    <x v="0"/>
    <x v="1"/>
    <x v="4"/>
    <x v="4"/>
    <n v="2000.0115000000003"/>
    <x v="2"/>
  </r>
  <r>
    <n v="10574"/>
    <x v="24"/>
    <s v="December"/>
    <x v="2"/>
    <n v="4.99"/>
    <n v="200.4"/>
    <x v="0"/>
    <x v="1"/>
    <x v="4"/>
    <x v="4"/>
    <n v="999.99600000000009"/>
    <x v="3"/>
  </r>
  <r>
    <n v="10575"/>
    <x v="25"/>
    <s v="December"/>
    <x v="3"/>
    <n v="12.99"/>
    <n v="523.48"/>
    <x v="0"/>
    <x v="1"/>
    <x v="4"/>
    <x v="4"/>
    <n v="6800.0052000000005"/>
    <x v="4"/>
  </r>
  <r>
    <n v="10576"/>
    <x v="25"/>
    <s v="December"/>
    <x v="4"/>
    <n v="9.9499999999999993"/>
    <n v="201.01"/>
    <x v="0"/>
    <x v="1"/>
    <x v="4"/>
    <x v="4"/>
    <n v="2000.0494999999999"/>
    <x v="5"/>
  </r>
  <r>
    <n v="10577"/>
    <x v="25"/>
    <s v="December"/>
    <x v="0"/>
    <n v="3.49"/>
    <n v="630.37"/>
    <x v="0"/>
    <x v="1"/>
    <x v="4"/>
    <x v="4"/>
    <n v="2199.9913000000001"/>
    <x v="6"/>
  </r>
  <r>
    <n v="10578"/>
    <x v="25"/>
    <s v="December"/>
    <x v="1"/>
    <n v="2.95"/>
    <n v="677.97"/>
    <x v="0"/>
    <x v="1"/>
    <x v="4"/>
    <x v="4"/>
    <n v="2000.0115000000003"/>
    <x v="0"/>
  </r>
  <r>
    <n v="10579"/>
    <x v="25"/>
    <s v="December"/>
    <x v="2"/>
    <n v="4.99"/>
    <n v="200.4"/>
    <x v="0"/>
    <x v="1"/>
    <x v="4"/>
    <x v="4"/>
    <n v="999.99600000000009"/>
    <x v="1"/>
  </r>
  <r>
    <n v="10580"/>
    <x v="26"/>
    <s v="December"/>
    <x v="3"/>
    <n v="12.99"/>
    <n v="523.48"/>
    <x v="0"/>
    <x v="1"/>
    <x v="4"/>
    <x v="4"/>
    <n v="6800.0052000000005"/>
    <x v="2"/>
  </r>
  <r>
    <n v="10581"/>
    <x v="26"/>
    <s v="December"/>
    <x v="4"/>
    <n v="9.9499999999999993"/>
    <n v="201.01"/>
    <x v="0"/>
    <x v="1"/>
    <x v="4"/>
    <x v="4"/>
    <n v="2000.0494999999999"/>
    <x v="3"/>
  </r>
  <r>
    <n v="10582"/>
    <x v="26"/>
    <s v="December"/>
    <x v="0"/>
    <n v="3.49"/>
    <n v="630.37"/>
    <x v="0"/>
    <x v="1"/>
    <x v="0"/>
    <x v="0"/>
    <n v="2199.9913000000001"/>
    <x v="4"/>
  </r>
  <r>
    <n v="10583"/>
    <x v="26"/>
    <s v="December"/>
    <x v="1"/>
    <n v="2.95"/>
    <n v="677.97"/>
    <x v="0"/>
    <x v="1"/>
    <x v="0"/>
    <x v="0"/>
    <n v="2000.0115000000003"/>
    <x v="5"/>
  </r>
  <r>
    <n v="10584"/>
    <x v="26"/>
    <s v="December"/>
    <x v="2"/>
    <n v="4.99"/>
    <n v="200.4"/>
    <x v="0"/>
    <x v="1"/>
    <x v="0"/>
    <x v="0"/>
    <n v="999.99600000000009"/>
    <x v="6"/>
  </r>
  <r>
    <n v="10585"/>
    <x v="27"/>
    <s v="December"/>
    <x v="3"/>
    <n v="12.99"/>
    <n v="538.88"/>
    <x v="0"/>
    <x v="1"/>
    <x v="0"/>
    <x v="0"/>
    <n v="7000.0511999999999"/>
    <x v="0"/>
  </r>
  <r>
    <n v="10586"/>
    <x v="27"/>
    <s v="December"/>
    <x v="4"/>
    <n v="9.9499999999999993"/>
    <n v="201.01"/>
    <x v="0"/>
    <x v="1"/>
    <x v="0"/>
    <x v="0"/>
    <n v="2000.0494999999999"/>
    <x v="1"/>
  </r>
  <r>
    <n v="10537"/>
    <x v="17"/>
    <s v="November"/>
    <x v="0"/>
    <n v="3.49"/>
    <n v="630.37"/>
    <x v="2"/>
    <x v="1"/>
    <x v="1"/>
    <x v="1"/>
    <n v="2199.9913000000001"/>
    <x v="1"/>
  </r>
  <r>
    <n v="10538"/>
    <x v="17"/>
    <s v="November"/>
    <x v="1"/>
    <n v="2.95"/>
    <n v="745.76"/>
    <x v="2"/>
    <x v="1"/>
    <x v="1"/>
    <x v="1"/>
    <n v="2199.9920000000002"/>
    <x v="2"/>
  </r>
  <r>
    <n v="10539"/>
    <x v="17"/>
    <s v="November"/>
    <x v="2"/>
    <n v="4.99"/>
    <n v="200.4"/>
    <x v="2"/>
    <x v="1"/>
    <x v="1"/>
    <x v="1"/>
    <n v="999.99600000000009"/>
    <x v="3"/>
  </r>
  <r>
    <n v="10590"/>
    <x v="28"/>
    <s v="December"/>
    <x v="3"/>
    <n v="12.99"/>
    <n v="554.27"/>
    <x v="0"/>
    <x v="1"/>
    <x v="0"/>
    <x v="0"/>
    <n v="7199.9673000000003"/>
    <x v="5"/>
  </r>
  <r>
    <n v="10591"/>
    <x v="28"/>
    <s v="December"/>
    <x v="4"/>
    <n v="9.9499999999999993"/>
    <n v="201.01"/>
    <x v="0"/>
    <x v="1"/>
    <x v="0"/>
    <x v="0"/>
    <n v="2000.0494999999999"/>
    <x v="6"/>
  </r>
  <r>
    <n v="10592"/>
    <x v="28"/>
    <s v="December"/>
    <x v="0"/>
    <n v="3.49"/>
    <n v="573.07000000000005"/>
    <x v="0"/>
    <x v="1"/>
    <x v="0"/>
    <x v="0"/>
    <n v="2000.0143000000003"/>
    <x v="0"/>
  </r>
  <r>
    <n v="10593"/>
    <x v="28"/>
    <s v="December"/>
    <x v="1"/>
    <n v="2.95"/>
    <n v="677.97"/>
    <x v="0"/>
    <x v="1"/>
    <x v="0"/>
    <x v="0"/>
    <n v="2000.0115000000003"/>
    <x v="1"/>
  </r>
  <r>
    <n v="10594"/>
    <x v="28"/>
    <s v="December"/>
    <x v="2"/>
    <n v="4.99"/>
    <n v="200.4"/>
    <x v="0"/>
    <x v="1"/>
    <x v="0"/>
    <x v="0"/>
    <n v="999.99600000000009"/>
    <x v="2"/>
  </r>
  <r>
    <n v="10595"/>
    <x v="29"/>
    <s v="December"/>
    <x v="3"/>
    <n v="12.99"/>
    <n v="538.88"/>
    <x v="0"/>
    <x v="1"/>
    <x v="0"/>
    <x v="0"/>
    <n v="7000.0511999999999"/>
    <x v="3"/>
  </r>
  <r>
    <n v="10596"/>
    <x v="29"/>
    <s v="December"/>
    <x v="4"/>
    <n v="9.9499999999999993"/>
    <n v="201.01"/>
    <x v="0"/>
    <x v="1"/>
    <x v="0"/>
    <x v="0"/>
    <n v="2000.0494999999999"/>
    <x v="4"/>
  </r>
  <r>
    <n v="10597"/>
    <x v="29"/>
    <s v="December"/>
    <x v="0"/>
    <n v="3.49"/>
    <n v="573.07000000000005"/>
    <x v="0"/>
    <x v="1"/>
    <x v="0"/>
    <x v="0"/>
    <n v="2000.0143000000003"/>
    <x v="5"/>
  </r>
  <r>
    <n v="10598"/>
    <x v="29"/>
    <s v="December"/>
    <x v="1"/>
    <n v="2.95"/>
    <n v="677.97"/>
    <x v="0"/>
    <x v="1"/>
    <x v="0"/>
    <x v="0"/>
    <n v="2000.0115000000003"/>
    <x v="6"/>
  </r>
  <r>
    <n v="10599"/>
    <x v="29"/>
    <s v="December"/>
    <x v="2"/>
    <n v="4.99"/>
    <n v="200.4"/>
    <x v="0"/>
    <x v="1"/>
    <x v="0"/>
    <x v="0"/>
    <n v="999.99600000000009"/>
    <x v="0"/>
  </r>
  <r>
    <n v="10600"/>
    <x v="30"/>
    <s v="December"/>
    <x v="3"/>
    <n v="12.99"/>
    <n v="523.48"/>
    <x v="0"/>
    <x v="1"/>
    <x v="0"/>
    <x v="0"/>
    <n v="6800.0052000000005"/>
    <x v="1"/>
  </r>
  <r>
    <n v="10601"/>
    <x v="30"/>
    <s v="December"/>
    <x v="4"/>
    <n v="9.9499999999999993"/>
    <n v="201.01"/>
    <x v="0"/>
    <x v="1"/>
    <x v="0"/>
    <x v="0"/>
    <n v="2000.0494999999999"/>
    <x v="2"/>
  </r>
  <r>
    <n v="10602"/>
    <x v="30"/>
    <s v="December"/>
    <x v="0"/>
    <n v="3.49"/>
    <n v="630.37"/>
    <x v="0"/>
    <x v="2"/>
    <x v="0"/>
    <x v="0"/>
    <n v="2199.9913000000001"/>
    <x v="3"/>
  </r>
  <r>
    <n v="10603"/>
    <x v="30"/>
    <s v="December"/>
    <x v="1"/>
    <n v="2.95"/>
    <n v="677.97"/>
    <x v="0"/>
    <x v="2"/>
    <x v="0"/>
    <x v="0"/>
    <n v="2000.0115000000003"/>
    <x v="4"/>
  </r>
  <r>
    <n v="10604"/>
    <x v="30"/>
    <s v="December"/>
    <x v="2"/>
    <n v="4.99"/>
    <n v="200.4"/>
    <x v="0"/>
    <x v="2"/>
    <x v="0"/>
    <x v="0"/>
    <n v="999.99600000000009"/>
    <x v="5"/>
  </r>
  <r>
    <n v="10605"/>
    <x v="31"/>
    <s v="December"/>
    <x v="3"/>
    <n v="12.99"/>
    <n v="538.88"/>
    <x v="0"/>
    <x v="2"/>
    <x v="0"/>
    <x v="0"/>
    <n v="7000.0511999999999"/>
    <x v="6"/>
  </r>
  <r>
    <n v="10606"/>
    <x v="31"/>
    <s v="December"/>
    <x v="4"/>
    <n v="9.9499999999999993"/>
    <n v="201.01"/>
    <x v="0"/>
    <x v="2"/>
    <x v="0"/>
    <x v="0"/>
    <n v="2000.0494999999999"/>
    <x v="0"/>
  </r>
  <r>
    <n v="10607"/>
    <x v="31"/>
    <s v="December"/>
    <x v="0"/>
    <n v="3.49"/>
    <n v="630.37"/>
    <x v="0"/>
    <x v="2"/>
    <x v="0"/>
    <x v="0"/>
    <n v="2199.9913000000001"/>
    <x v="1"/>
  </r>
  <r>
    <n v="10608"/>
    <x v="31"/>
    <s v="December"/>
    <x v="1"/>
    <n v="2.95"/>
    <n v="677.97"/>
    <x v="0"/>
    <x v="0"/>
    <x v="0"/>
    <x v="0"/>
    <n v="2000.0115000000003"/>
    <x v="2"/>
  </r>
  <r>
    <n v="10609"/>
    <x v="31"/>
    <s v="December"/>
    <x v="2"/>
    <n v="4.99"/>
    <n v="200.4"/>
    <x v="0"/>
    <x v="0"/>
    <x v="0"/>
    <x v="0"/>
    <n v="999.99600000000009"/>
    <x v="3"/>
  </r>
  <r>
    <n v="10610"/>
    <x v="32"/>
    <s v="December"/>
    <x v="3"/>
    <n v="12.99"/>
    <n v="569.66999999999996"/>
    <x v="0"/>
    <x v="0"/>
    <x v="0"/>
    <x v="0"/>
    <n v="7400.0132999999996"/>
    <x v="4"/>
  </r>
  <r>
    <n v="10611"/>
    <x v="32"/>
    <s v="December"/>
    <x v="4"/>
    <n v="9.9499999999999993"/>
    <n v="201.01"/>
    <x v="0"/>
    <x v="0"/>
    <x v="0"/>
    <x v="0"/>
    <n v="2000.0494999999999"/>
    <x v="5"/>
  </r>
  <r>
    <n v="10612"/>
    <x v="32"/>
    <s v="December"/>
    <x v="0"/>
    <n v="3.49"/>
    <n v="630.37"/>
    <x v="0"/>
    <x v="0"/>
    <x v="0"/>
    <x v="0"/>
    <n v="2199.9913000000001"/>
    <x v="6"/>
  </r>
  <r>
    <n v="10613"/>
    <x v="32"/>
    <s v="December"/>
    <x v="1"/>
    <n v="2.95"/>
    <n v="677.97"/>
    <x v="0"/>
    <x v="0"/>
    <x v="0"/>
    <x v="0"/>
    <n v="2000.0115000000003"/>
    <x v="0"/>
  </r>
  <r>
    <n v="10614"/>
    <x v="32"/>
    <s v="December"/>
    <x v="2"/>
    <n v="4.99"/>
    <n v="200.4"/>
    <x v="0"/>
    <x v="0"/>
    <x v="0"/>
    <x v="0"/>
    <n v="999.99600000000009"/>
    <x v="1"/>
  </r>
  <r>
    <n v="10615"/>
    <x v="33"/>
    <s v="December"/>
    <x v="3"/>
    <n v="12.99"/>
    <n v="569.66999999999996"/>
    <x v="0"/>
    <x v="0"/>
    <x v="0"/>
    <x v="0"/>
    <n v="7400.0132999999996"/>
    <x v="2"/>
  </r>
  <r>
    <n v="10616"/>
    <x v="33"/>
    <s v="December"/>
    <x v="4"/>
    <n v="9.9499999999999993"/>
    <n v="201.01"/>
    <x v="0"/>
    <x v="0"/>
    <x v="0"/>
    <x v="0"/>
    <n v="2000.0494999999999"/>
    <x v="3"/>
  </r>
  <r>
    <n v="10617"/>
    <x v="33"/>
    <s v="December"/>
    <x v="0"/>
    <n v="3.49"/>
    <n v="630.37"/>
    <x v="0"/>
    <x v="0"/>
    <x v="0"/>
    <x v="0"/>
    <n v="2199.9913000000001"/>
    <x v="4"/>
  </r>
  <r>
    <n v="10618"/>
    <x v="33"/>
    <s v="December"/>
    <x v="1"/>
    <n v="2.95"/>
    <n v="677.97"/>
    <x v="0"/>
    <x v="0"/>
    <x v="0"/>
    <x v="0"/>
    <n v="2000.0115000000003"/>
    <x v="5"/>
  </r>
  <r>
    <n v="10619"/>
    <x v="33"/>
    <s v="December"/>
    <x v="2"/>
    <n v="4.99"/>
    <n v="200.4"/>
    <x v="0"/>
    <x v="0"/>
    <x v="0"/>
    <x v="0"/>
    <n v="999.99600000000009"/>
    <x v="6"/>
  </r>
  <r>
    <n v="10620"/>
    <x v="34"/>
    <s v="December"/>
    <x v="3"/>
    <n v="12.99"/>
    <n v="585.07000000000005"/>
    <x v="0"/>
    <x v="0"/>
    <x v="0"/>
    <x v="0"/>
    <n v="7600.0593000000008"/>
    <x v="0"/>
  </r>
  <r>
    <n v="10621"/>
    <x v="34"/>
    <s v="December"/>
    <x v="4"/>
    <n v="9.9499999999999993"/>
    <n v="201.01"/>
    <x v="0"/>
    <x v="0"/>
    <x v="0"/>
    <x v="0"/>
    <n v="2000.0494999999999"/>
    <x v="1"/>
  </r>
  <r>
    <n v="10622"/>
    <x v="34"/>
    <s v="December"/>
    <x v="0"/>
    <n v="3.49"/>
    <n v="630.37"/>
    <x v="0"/>
    <x v="0"/>
    <x v="0"/>
    <x v="0"/>
    <n v="2199.9913000000001"/>
    <x v="2"/>
  </r>
  <r>
    <n v="10623"/>
    <x v="34"/>
    <s v="December"/>
    <x v="1"/>
    <n v="2.95"/>
    <n v="745.76"/>
    <x v="0"/>
    <x v="0"/>
    <x v="0"/>
    <x v="0"/>
    <n v="2199.9920000000002"/>
    <x v="3"/>
  </r>
  <r>
    <n v="10624"/>
    <x v="34"/>
    <s v="December"/>
    <x v="2"/>
    <n v="4.99"/>
    <n v="200.4"/>
    <x v="0"/>
    <x v="0"/>
    <x v="0"/>
    <x v="0"/>
    <n v="999.99600000000009"/>
    <x v="4"/>
  </r>
  <r>
    <n v="10625"/>
    <x v="35"/>
    <s v="December"/>
    <x v="3"/>
    <n v="12.99"/>
    <n v="569.66999999999996"/>
    <x v="0"/>
    <x v="0"/>
    <x v="0"/>
    <x v="0"/>
    <n v="7400.0132999999996"/>
    <x v="5"/>
  </r>
  <r>
    <n v="10626"/>
    <x v="35"/>
    <s v="December"/>
    <x v="4"/>
    <n v="9.9499999999999993"/>
    <n v="201.01"/>
    <x v="0"/>
    <x v="0"/>
    <x v="0"/>
    <x v="0"/>
    <n v="2000.0494999999999"/>
    <x v="6"/>
  </r>
  <r>
    <n v="10627"/>
    <x v="35"/>
    <s v="December"/>
    <x v="0"/>
    <n v="3.49"/>
    <n v="630.37"/>
    <x v="0"/>
    <x v="0"/>
    <x v="0"/>
    <x v="0"/>
    <n v="2199.9913000000001"/>
    <x v="0"/>
  </r>
  <r>
    <n v="10628"/>
    <x v="35"/>
    <s v="December"/>
    <x v="1"/>
    <n v="2.95"/>
    <n v="677.97"/>
    <x v="0"/>
    <x v="0"/>
    <x v="2"/>
    <x v="2"/>
    <n v="2000.0115000000003"/>
    <x v="1"/>
  </r>
  <r>
    <n v="10629"/>
    <x v="35"/>
    <s v="December"/>
    <x v="2"/>
    <n v="4.99"/>
    <n v="200.4"/>
    <x v="0"/>
    <x v="0"/>
    <x v="2"/>
    <x v="2"/>
    <n v="999.99600000000009"/>
    <x v="2"/>
  </r>
  <r>
    <n v="10630"/>
    <x v="36"/>
    <s v="December"/>
    <x v="3"/>
    <n v="12.99"/>
    <n v="569.66999999999996"/>
    <x v="0"/>
    <x v="2"/>
    <x v="2"/>
    <x v="2"/>
    <n v="7400.0132999999996"/>
    <x v="3"/>
  </r>
  <r>
    <n v="10631"/>
    <x v="36"/>
    <s v="December"/>
    <x v="4"/>
    <n v="9.9499999999999993"/>
    <n v="201.01"/>
    <x v="0"/>
    <x v="0"/>
    <x v="2"/>
    <x v="2"/>
    <n v="2000.0494999999999"/>
    <x v="4"/>
  </r>
  <r>
    <n v="10632"/>
    <x v="36"/>
    <s v="December"/>
    <x v="0"/>
    <n v="3.49"/>
    <n v="630.37"/>
    <x v="0"/>
    <x v="0"/>
    <x v="2"/>
    <x v="2"/>
    <n v="2199.9913000000001"/>
    <x v="5"/>
  </r>
  <r>
    <n v="10633"/>
    <x v="36"/>
    <s v="December"/>
    <x v="1"/>
    <n v="2.95"/>
    <n v="677.97"/>
    <x v="0"/>
    <x v="0"/>
    <x v="2"/>
    <x v="2"/>
    <n v="2000.0115000000003"/>
    <x v="6"/>
  </r>
  <r>
    <n v="10634"/>
    <x v="36"/>
    <s v="December"/>
    <x v="2"/>
    <n v="4.99"/>
    <n v="200.4"/>
    <x v="0"/>
    <x v="0"/>
    <x v="2"/>
    <x v="2"/>
    <n v="999.99600000000009"/>
    <x v="0"/>
  </r>
  <r>
    <n v="10635"/>
    <x v="37"/>
    <s v="December"/>
    <x v="3"/>
    <n v="12.99"/>
    <n v="554.27"/>
    <x v="0"/>
    <x v="0"/>
    <x v="2"/>
    <x v="2"/>
    <n v="7199.9673000000003"/>
    <x v="1"/>
  </r>
  <r>
    <n v="10636"/>
    <x v="37"/>
    <s v="December"/>
    <x v="4"/>
    <n v="9.9499999999999993"/>
    <n v="221.11"/>
    <x v="0"/>
    <x v="0"/>
    <x v="2"/>
    <x v="2"/>
    <n v="2200.0445"/>
    <x v="2"/>
  </r>
  <r>
    <n v="10637"/>
    <x v="37"/>
    <s v="December"/>
    <x v="0"/>
    <n v="3.49"/>
    <n v="630.37"/>
    <x v="0"/>
    <x v="0"/>
    <x v="2"/>
    <x v="2"/>
    <n v="2199.9913000000001"/>
    <x v="3"/>
  </r>
  <r>
    <n v="10638"/>
    <x v="37"/>
    <s v="December"/>
    <x v="1"/>
    <n v="2.95"/>
    <n v="677.97"/>
    <x v="0"/>
    <x v="0"/>
    <x v="2"/>
    <x v="2"/>
    <n v="2000.0115000000003"/>
    <x v="4"/>
  </r>
  <r>
    <n v="10639"/>
    <x v="37"/>
    <s v="December"/>
    <x v="2"/>
    <n v="4.99"/>
    <n v="200.4"/>
    <x v="0"/>
    <x v="0"/>
    <x v="2"/>
    <x v="2"/>
    <n v="999.99600000000009"/>
    <x v="5"/>
  </r>
  <r>
    <n v="10640"/>
    <x v="38"/>
    <s v="December"/>
    <x v="3"/>
    <n v="12.99"/>
    <n v="538.88"/>
    <x v="0"/>
    <x v="0"/>
    <x v="2"/>
    <x v="2"/>
    <n v="7000.0511999999999"/>
    <x v="6"/>
  </r>
  <r>
    <n v="10641"/>
    <x v="38"/>
    <s v="December"/>
    <x v="4"/>
    <n v="9.9499999999999993"/>
    <n v="221.11"/>
    <x v="0"/>
    <x v="0"/>
    <x v="2"/>
    <x v="2"/>
    <n v="2200.0445"/>
    <x v="0"/>
  </r>
  <r>
    <n v="10642"/>
    <x v="38"/>
    <s v="December"/>
    <x v="0"/>
    <n v="3.49"/>
    <n v="630.37"/>
    <x v="0"/>
    <x v="2"/>
    <x v="2"/>
    <x v="2"/>
    <n v="2199.9913000000001"/>
    <x v="1"/>
  </r>
  <r>
    <n v="10643"/>
    <x v="38"/>
    <s v="December"/>
    <x v="1"/>
    <n v="2.95"/>
    <n v="677.97"/>
    <x v="0"/>
    <x v="2"/>
    <x v="2"/>
    <x v="2"/>
    <n v="2000.0115000000003"/>
    <x v="2"/>
  </r>
  <r>
    <n v="10644"/>
    <x v="38"/>
    <s v="December"/>
    <x v="2"/>
    <n v="4.99"/>
    <n v="200.4"/>
    <x v="0"/>
    <x v="2"/>
    <x v="2"/>
    <x v="2"/>
    <n v="999.99600000000009"/>
    <x v="3"/>
  </r>
  <r>
    <n v="10645"/>
    <x v="39"/>
    <s v="December"/>
    <x v="3"/>
    <n v="12.99"/>
    <n v="569.66999999999996"/>
    <x v="0"/>
    <x v="2"/>
    <x v="2"/>
    <x v="2"/>
    <n v="7400.0132999999996"/>
    <x v="4"/>
  </r>
  <r>
    <n v="10646"/>
    <x v="39"/>
    <s v="December"/>
    <x v="4"/>
    <n v="9.9499999999999993"/>
    <n v="221.11"/>
    <x v="0"/>
    <x v="2"/>
    <x v="2"/>
    <x v="2"/>
    <n v="2200.0445"/>
    <x v="5"/>
  </r>
  <r>
    <n v="10647"/>
    <x v="39"/>
    <s v="December"/>
    <x v="0"/>
    <n v="3.49"/>
    <n v="630.37"/>
    <x v="0"/>
    <x v="0"/>
    <x v="2"/>
    <x v="2"/>
    <n v="2199.9913000000001"/>
    <x v="6"/>
  </r>
  <r>
    <n v="10648"/>
    <x v="39"/>
    <s v="December"/>
    <x v="1"/>
    <n v="2.95"/>
    <n v="745.76"/>
    <x v="0"/>
    <x v="0"/>
    <x v="2"/>
    <x v="2"/>
    <n v="2199.9920000000002"/>
    <x v="0"/>
  </r>
  <r>
    <n v="10649"/>
    <x v="39"/>
    <s v="December"/>
    <x v="2"/>
    <n v="4.99"/>
    <n v="200.4"/>
    <x v="0"/>
    <x v="0"/>
    <x v="2"/>
    <x v="2"/>
    <n v="999.99600000000009"/>
    <x v="1"/>
  </r>
  <r>
    <n v="10650"/>
    <x v="40"/>
    <s v="December"/>
    <x v="3"/>
    <n v="12.99"/>
    <n v="585.07000000000005"/>
    <x v="0"/>
    <x v="0"/>
    <x v="2"/>
    <x v="2"/>
    <n v="7600.0593000000008"/>
    <x v="2"/>
  </r>
  <r>
    <n v="10651"/>
    <x v="40"/>
    <s v="December"/>
    <x v="4"/>
    <n v="9.9499999999999993"/>
    <n v="221.11"/>
    <x v="0"/>
    <x v="0"/>
    <x v="2"/>
    <x v="2"/>
    <n v="2200.0445"/>
    <x v="3"/>
  </r>
  <r>
    <n v="10652"/>
    <x v="40"/>
    <s v="December"/>
    <x v="0"/>
    <n v="3.49"/>
    <n v="687.68"/>
    <x v="0"/>
    <x v="0"/>
    <x v="2"/>
    <x v="2"/>
    <n v="2400.0032000000001"/>
    <x v="4"/>
  </r>
  <r>
    <n v="10653"/>
    <x v="40"/>
    <s v="December"/>
    <x v="1"/>
    <n v="2.95"/>
    <n v="745.76"/>
    <x v="0"/>
    <x v="0"/>
    <x v="2"/>
    <x v="2"/>
    <n v="2199.9920000000002"/>
    <x v="5"/>
  </r>
  <r>
    <n v="10654"/>
    <x v="40"/>
    <s v="December"/>
    <x v="2"/>
    <n v="4.99"/>
    <n v="200.4"/>
    <x v="0"/>
    <x v="0"/>
    <x v="2"/>
    <x v="2"/>
    <n v="999.99600000000009"/>
    <x v="6"/>
  </r>
  <r>
    <n v="10655"/>
    <x v="41"/>
    <s v="December"/>
    <x v="3"/>
    <n v="12.99"/>
    <n v="600.46"/>
    <x v="0"/>
    <x v="0"/>
    <x v="2"/>
    <x v="2"/>
    <n v="7799.9754000000003"/>
    <x v="0"/>
  </r>
  <r>
    <n v="10656"/>
    <x v="41"/>
    <s v="December"/>
    <x v="4"/>
    <n v="9.9499999999999993"/>
    <n v="221.11"/>
    <x v="0"/>
    <x v="0"/>
    <x v="2"/>
    <x v="2"/>
    <n v="2200.0445"/>
    <x v="1"/>
  </r>
  <r>
    <n v="10657"/>
    <x v="41"/>
    <s v="December"/>
    <x v="0"/>
    <n v="3.49"/>
    <n v="687.68"/>
    <x v="0"/>
    <x v="0"/>
    <x v="2"/>
    <x v="2"/>
    <n v="2400.0032000000001"/>
    <x v="2"/>
  </r>
  <r>
    <n v="10658"/>
    <x v="41"/>
    <s v="December"/>
    <x v="1"/>
    <n v="2.95"/>
    <n v="745.76"/>
    <x v="0"/>
    <x v="2"/>
    <x v="2"/>
    <x v="2"/>
    <n v="2199.9920000000002"/>
    <x v="3"/>
  </r>
  <r>
    <n v="10659"/>
    <x v="41"/>
    <s v="December"/>
    <x v="2"/>
    <n v="4.99"/>
    <n v="200.4"/>
    <x v="0"/>
    <x v="2"/>
    <x v="2"/>
    <x v="2"/>
    <n v="999.99600000000009"/>
    <x v="4"/>
  </r>
  <r>
    <n v="10660"/>
    <x v="42"/>
    <s v="December"/>
    <x v="3"/>
    <n v="12.99"/>
    <n v="631.25"/>
    <x v="1"/>
    <x v="2"/>
    <x v="2"/>
    <x v="2"/>
    <n v="8199.9375"/>
    <x v="5"/>
  </r>
  <r>
    <n v="10661"/>
    <x v="42"/>
    <s v="December"/>
    <x v="4"/>
    <n v="9.9499999999999993"/>
    <n v="221.11"/>
    <x v="1"/>
    <x v="2"/>
    <x v="2"/>
    <x v="2"/>
    <n v="2200.0445"/>
    <x v="6"/>
  </r>
  <r>
    <n v="10662"/>
    <x v="42"/>
    <s v="December"/>
    <x v="0"/>
    <n v="3.49"/>
    <n v="630.37"/>
    <x v="1"/>
    <x v="2"/>
    <x v="2"/>
    <x v="2"/>
    <n v="2199.9913000000001"/>
    <x v="0"/>
  </r>
  <r>
    <n v="10663"/>
    <x v="42"/>
    <s v="December"/>
    <x v="1"/>
    <n v="2.95"/>
    <n v="745.76"/>
    <x v="1"/>
    <x v="2"/>
    <x v="2"/>
    <x v="2"/>
    <n v="2199.9920000000002"/>
    <x v="1"/>
  </r>
  <r>
    <n v="10664"/>
    <x v="42"/>
    <s v="December"/>
    <x v="2"/>
    <n v="4.99"/>
    <n v="200.4"/>
    <x v="1"/>
    <x v="2"/>
    <x v="2"/>
    <x v="2"/>
    <n v="999.99600000000009"/>
    <x v="2"/>
  </r>
  <r>
    <n v="10665"/>
    <x v="43"/>
    <s v="December"/>
    <x v="3"/>
    <n v="12.99"/>
    <n v="646.65"/>
    <x v="1"/>
    <x v="2"/>
    <x v="2"/>
    <x v="2"/>
    <n v="8399.9835000000003"/>
    <x v="3"/>
  </r>
  <r>
    <n v="10666"/>
    <x v="43"/>
    <s v="December"/>
    <x v="4"/>
    <n v="9.9499999999999993"/>
    <n v="221.11"/>
    <x v="1"/>
    <x v="2"/>
    <x v="2"/>
    <x v="2"/>
    <n v="2200.0445"/>
    <x v="4"/>
  </r>
  <r>
    <n v="10667"/>
    <x v="43"/>
    <s v="December"/>
    <x v="0"/>
    <n v="3.49"/>
    <n v="630.37"/>
    <x v="1"/>
    <x v="2"/>
    <x v="2"/>
    <x v="2"/>
    <n v="2199.9913000000001"/>
    <x v="5"/>
  </r>
  <r>
    <n v="10668"/>
    <x v="43"/>
    <s v="December"/>
    <x v="1"/>
    <n v="2.95"/>
    <n v="745.76"/>
    <x v="1"/>
    <x v="2"/>
    <x v="2"/>
    <x v="2"/>
    <n v="2199.9920000000002"/>
    <x v="6"/>
  </r>
  <r>
    <n v="10669"/>
    <x v="43"/>
    <s v="December"/>
    <x v="2"/>
    <n v="4.99"/>
    <n v="200.4"/>
    <x v="1"/>
    <x v="2"/>
    <x v="2"/>
    <x v="2"/>
    <n v="999.99600000000009"/>
    <x v="0"/>
  </r>
  <r>
    <n v="10670"/>
    <x v="44"/>
    <s v="December"/>
    <x v="3"/>
    <n v="12.99"/>
    <n v="677.44"/>
    <x v="1"/>
    <x v="2"/>
    <x v="2"/>
    <x v="2"/>
    <n v="8799.9456000000009"/>
    <x v="1"/>
  </r>
  <r>
    <n v="10671"/>
    <x v="44"/>
    <s v="December"/>
    <x v="4"/>
    <n v="9.9499999999999993"/>
    <n v="221.11"/>
    <x v="1"/>
    <x v="2"/>
    <x v="2"/>
    <x v="2"/>
    <n v="2200.0445"/>
    <x v="2"/>
  </r>
  <r>
    <n v="10672"/>
    <x v="44"/>
    <s v="December"/>
    <x v="0"/>
    <n v="3.49"/>
    <n v="630.37"/>
    <x v="1"/>
    <x v="2"/>
    <x v="2"/>
    <x v="2"/>
    <n v="2199.9913000000001"/>
    <x v="3"/>
  </r>
  <r>
    <n v="10673"/>
    <x v="44"/>
    <s v="December"/>
    <x v="1"/>
    <n v="2.95"/>
    <n v="745.76"/>
    <x v="1"/>
    <x v="2"/>
    <x v="2"/>
    <x v="2"/>
    <n v="2199.9920000000002"/>
    <x v="4"/>
  </r>
  <r>
    <n v="10674"/>
    <x v="44"/>
    <s v="December"/>
    <x v="2"/>
    <n v="4.99"/>
    <n v="200.4"/>
    <x v="1"/>
    <x v="2"/>
    <x v="2"/>
    <x v="2"/>
    <n v="999.99600000000009"/>
    <x v="5"/>
  </r>
  <r>
    <n v="10675"/>
    <x v="45"/>
    <s v="December"/>
    <x v="3"/>
    <n v="12.99"/>
    <n v="677.44"/>
    <x v="1"/>
    <x v="2"/>
    <x v="2"/>
    <x v="2"/>
    <n v="8799.9456000000009"/>
    <x v="6"/>
  </r>
  <r>
    <n v="10676"/>
    <x v="45"/>
    <s v="December"/>
    <x v="4"/>
    <n v="9.9499999999999993"/>
    <n v="241.21"/>
    <x v="1"/>
    <x v="2"/>
    <x v="2"/>
    <x v="2"/>
    <n v="2400.0394999999999"/>
    <x v="0"/>
  </r>
  <r>
    <n v="10677"/>
    <x v="45"/>
    <s v="December"/>
    <x v="0"/>
    <n v="3.49"/>
    <n v="630.37"/>
    <x v="1"/>
    <x v="2"/>
    <x v="2"/>
    <x v="2"/>
    <n v="2199.9913000000001"/>
    <x v="1"/>
  </r>
  <r>
    <n v="10678"/>
    <x v="45"/>
    <s v="December"/>
    <x v="1"/>
    <n v="2.95"/>
    <n v="745.76"/>
    <x v="1"/>
    <x v="2"/>
    <x v="2"/>
    <x v="2"/>
    <n v="2199.9920000000002"/>
    <x v="2"/>
  </r>
  <r>
    <n v="10679"/>
    <x v="45"/>
    <s v="December"/>
    <x v="2"/>
    <n v="4.99"/>
    <n v="200.4"/>
    <x v="1"/>
    <x v="2"/>
    <x v="2"/>
    <x v="2"/>
    <n v="999.99600000000009"/>
    <x v="3"/>
  </r>
  <r>
    <n v="10680"/>
    <x v="46"/>
    <s v="December"/>
    <x v="3"/>
    <n v="12.99"/>
    <n v="646.65"/>
    <x v="1"/>
    <x v="2"/>
    <x v="2"/>
    <x v="2"/>
    <n v="8399.9835000000003"/>
    <x v="4"/>
  </r>
  <r>
    <n v="10681"/>
    <x v="46"/>
    <s v="December"/>
    <x v="4"/>
    <n v="9.9499999999999993"/>
    <n v="241.21"/>
    <x v="1"/>
    <x v="2"/>
    <x v="2"/>
    <x v="2"/>
    <n v="2400.0394999999999"/>
    <x v="5"/>
  </r>
  <r>
    <n v="10682"/>
    <x v="46"/>
    <s v="December"/>
    <x v="0"/>
    <n v="3.49"/>
    <n v="630.37"/>
    <x v="1"/>
    <x v="2"/>
    <x v="2"/>
    <x v="2"/>
    <n v="2199.9913000000001"/>
    <x v="6"/>
  </r>
  <r>
    <n v="10683"/>
    <x v="46"/>
    <s v="December"/>
    <x v="1"/>
    <n v="2.95"/>
    <n v="677.97"/>
    <x v="1"/>
    <x v="2"/>
    <x v="2"/>
    <x v="2"/>
    <n v="2000.0115000000003"/>
    <x v="0"/>
  </r>
  <r>
    <n v="10684"/>
    <x v="46"/>
    <s v="December"/>
    <x v="2"/>
    <n v="4.99"/>
    <n v="200.4"/>
    <x v="1"/>
    <x v="2"/>
    <x v="2"/>
    <x v="2"/>
    <n v="999.99600000000009"/>
    <x v="1"/>
  </r>
  <r>
    <n v="10685"/>
    <x v="47"/>
    <s v="December"/>
    <x v="3"/>
    <n v="12.99"/>
    <n v="677.44"/>
    <x v="1"/>
    <x v="2"/>
    <x v="2"/>
    <x v="2"/>
    <n v="8799.9456000000009"/>
    <x v="2"/>
  </r>
  <r>
    <n v="10686"/>
    <x v="47"/>
    <s v="December"/>
    <x v="4"/>
    <n v="9.9499999999999993"/>
    <n v="241.21"/>
    <x v="1"/>
    <x v="2"/>
    <x v="2"/>
    <x v="2"/>
    <n v="2400.0394999999999"/>
    <x v="3"/>
  </r>
  <r>
    <n v="10687"/>
    <x v="47"/>
    <s v="December"/>
    <x v="0"/>
    <n v="3.49"/>
    <n v="630.37"/>
    <x v="1"/>
    <x v="2"/>
    <x v="3"/>
    <x v="3"/>
    <n v="2199.9913000000001"/>
    <x v="4"/>
  </r>
  <r>
    <n v="10688"/>
    <x v="47"/>
    <s v="December"/>
    <x v="1"/>
    <n v="2.95"/>
    <n v="677.97"/>
    <x v="1"/>
    <x v="2"/>
    <x v="3"/>
    <x v="3"/>
    <n v="2000.0115000000003"/>
    <x v="5"/>
  </r>
  <r>
    <n v="10689"/>
    <x v="47"/>
    <s v="December"/>
    <x v="2"/>
    <n v="4.99"/>
    <n v="200.4"/>
    <x v="1"/>
    <x v="2"/>
    <x v="3"/>
    <x v="3"/>
    <n v="999.99600000000009"/>
    <x v="6"/>
  </r>
  <r>
    <n v="10690"/>
    <x v="48"/>
    <s v="December"/>
    <x v="3"/>
    <n v="12.99"/>
    <n v="677.44"/>
    <x v="1"/>
    <x v="2"/>
    <x v="3"/>
    <x v="3"/>
    <n v="8799.9456000000009"/>
    <x v="0"/>
  </r>
  <r>
    <n v="10691"/>
    <x v="48"/>
    <s v="December"/>
    <x v="4"/>
    <n v="9.9499999999999993"/>
    <n v="261.31"/>
    <x v="1"/>
    <x v="2"/>
    <x v="3"/>
    <x v="3"/>
    <n v="2600.0344999999998"/>
    <x v="1"/>
  </r>
  <r>
    <n v="10692"/>
    <x v="48"/>
    <s v="December"/>
    <x v="0"/>
    <n v="3.49"/>
    <n v="630.37"/>
    <x v="1"/>
    <x v="2"/>
    <x v="3"/>
    <x v="3"/>
    <n v="2199.9913000000001"/>
    <x v="2"/>
  </r>
  <r>
    <n v="10693"/>
    <x v="48"/>
    <s v="December"/>
    <x v="1"/>
    <n v="2.95"/>
    <n v="677.97"/>
    <x v="1"/>
    <x v="2"/>
    <x v="3"/>
    <x v="3"/>
    <n v="2000.0115000000003"/>
    <x v="3"/>
  </r>
  <r>
    <n v="10694"/>
    <x v="48"/>
    <s v="December"/>
    <x v="2"/>
    <n v="4.99"/>
    <n v="200.4"/>
    <x v="1"/>
    <x v="2"/>
    <x v="3"/>
    <x v="3"/>
    <n v="999.99600000000009"/>
    <x v="4"/>
  </r>
  <r>
    <n v="10695"/>
    <x v="49"/>
    <s v="December"/>
    <x v="3"/>
    <n v="12.99"/>
    <n v="692.84"/>
    <x v="1"/>
    <x v="2"/>
    <x v="3"/>
    <x v="3"/>
    <n v="8999.9916000000012"/>
    <x v="5"/>
  </r>
  <r>
    <n v="10696"/>
    <x v="49"/>
    <s v="December"/>
    <x v="4"/>
    <n v="9.9499999999999993"/>
    <n v="281.41000000000003"/>
    <x v="1"/>
    <x v="2"/>
    <x v="3"/>
    <x v="3"/>
    <n v="2800.0295000000001"/>
    <x v="6"/>
  </r>
  <r>
    <n v="10697"/>
    <x v="49"/>
    <s v="December"/>
    <x v="0"/>
    <n v="3.49"/>
    <n v="630.37"/>
    <x v="1"/>
    <x v="2"/>
    <x v="3"/>
    <x v="3"/>
    <n v="2199.9913000000001"/>
    <x v="0"/>
  </r>
  <r>
    <n v="10698"/>
    <x v="49"/>
    <s v="December"/>
    <x v="1"/>
    <n v="2.95"/>
    <n v="677.97"/>
    <x v="1"/>
    <x v="2"/>
    <x v="3"/>
    <x v="3"/>
    <n v="2000.0115000000003"/>
    <x v="1"/>
  </r>
  <r>
    <n v="10699"/>
    <x v="49"/>
    <s v="December"/>
    <x v="2"/>
    <n v="4.99"/>
    <n v="200.4"/>
    <x v="1"/>
    <x v="2"/>
    <x v="3"/>
    <x v="3"/>
    <n v="999.99600000000009"/>
    <x v="2"/>
  </r>
  <r>
    <n v="10700"/>
    <x v="50"/>
    <s v="December"/>
    <x v="3"/>
    <n v="12.99"/>
    <n v="692.84"/>
    <x v="1"/>
    <x v="2"/>
    <x v="3"/>
    <x v="3"/>
    <n v="8999.9916000000012"/>
    <x v="3"/>
  </r>
  <r>
    <n v="10701"/>
    <x v="50"/>
    <s v="December"/>
    <x v="4"/>
    <n v="9.9499999999999993"/>
    <n v="281.41000000000003"/>
    <x v="1"/>
    <x v="2"/>
    <x v="3"/>
    <x v="3"/>
    <n v="2800.0295000000001"/>
    <x v="4"/>
  </r>
  <r>
    <n v="10702"/>
    <x v="50"/>
    <s v="December"/>
    <x v="0"/>
    <n v="3.49"/>
    <n v="630.37"/>
    <x v="1"/>
    <x v="2"/>
    <x v="3"/>
    <x v="3"/>
    <n v="2199.9913000000001"/>
    <x v="5"/>
  </r>
  <r>
    <n v="10703"/>
    <x v="50"/>
    <s v="December"/>
    <x v="1"/>
    <n v="2.95"/>
    <n v="677.97"/>
    <x v="1"/>
    <x v="0"/>
    <x v="3"/>
    <x v="3"/>
    <n v="2000.0115000000003"/>
    <x v="6"/>
  </r>
  <r>
    <n v="10704"/>
    <x v="50"/>
    <s v="December"/>
    <x v="2"/>
    <n v="4.99"/>
    <n v="200.4"/>
    <x v="2"/>
    <x v="0"/>
    <x v="3"/>
    <x v="3"/>
    <n v="999.99600000000009"/>
    <x v="0"/>
  </r>
  <r>
    <n v="10705"/>
    <x v="51"/>
    <s v="December"/>
    <x v="3"/>
    <n v="12.99"/>
    <n v="723.63"/>
    <x v="2"/>
    <x v="0"/>
    <x v="3"/>
    <x v="3"/>
    <n v="9399.9537"/>
    <x v="1"/>
  </r>
  <r>
    <n v="10706"/>
    <x v="51"/>
    <s v="December"/>
    <x v="4"/>
    <n v="9.9499999999999993"/>
    <n v="301.51"/>
    <x v="2"/>
    <x v="0"/>
    <x v="3"/>
    <x v="3"/>
    <n v="3000.0244999999995"/>
    <x v="2"/>
  </r>
  <r>
    <n v="10707"/>
    <x v="51"/>
    <s v="December"/>
    <x v="0"/>
    <n v="3.49"/>
    <n v="630.37"/>
    <x v="2"/>
    <x v="0"/>
    <x v="3"/>
    <x v="3"/>
    <n v="2199.9913000000001"/>
    <x v="3"/>
  </r>
  <r>
    <n v="10708"/>
    <x v="51"/>
    <s v="December"/>
    <x v="1"/>
    <n v="2.95"/>
    <n v="677.97"/>
    <x v="2"/>
    <x v="0"/>
    <x v="3"/>
    <x v="3"/>
    <n v="2000.0115000000003"/>
    <x v="4"/>
  </r>
  <r>
    <n v="10709"/>
    <x v="51"/>
    <s v="December"/>
    <x v="2"/>
    <n v="4.99"/>
    <n v="200.4"/>
    <x v="2"/>
    <x v="0"/>
    <x v="3"/>
    <x v="3"/>
    <n v="999.99600000000009"/>
    <x v="5"/>
  </r>
  <r>
    <n v="10710"/>
    <x v="52"/>
    <s v="December"/>
    <x v="3"/>
    <n v="12.99"/>
    <n v="754.43"/>
    <x v="2"/>
    <x v="0"/>
    <x v="3"/>
    <x v="3"/>
    <n v="9800.0456999999988"/>
    <x v="6"/>
  </r>
  <r>
    <n v="10711"/>
    <x v="52"/>
    <s v="December"/>
    <x v="4"/>
    <n v="9.9499999999999993"/>
    <n v="281.41000000000003"/>
    <x v="2"/>
    <x v="0"/>
    <x v="3"/>
    <x v="3"/>
    <n v="2800.0295000000001"/>
    <x v="0"/>
  </r>
  <r>
    <n v="10712"/>
    <x v="52"/>
    <s v="December"/>
    <x v="0"/>
    <n v="3.49"/>
    <n v="630.37"/>
    <x v="2"/>
    <x v="0"/>
    <x v="3"/>
    <x v="3"/>
    <n v="2199.9913000000001"/>
    <x v="1"/>
  </r>
  <r>
    <n v="10713"/>
    <x v="52"/>
    <s v="December"/>
    <x v="1"/>
    <n v="2.95"/>
    <n v="677.97"/>
    <x v="2"/>
    <x v="0"/>
    <x v="3"/>
    <x v="3"/>
    <n v="2000.011500000000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4">
  <location ref="D1:E7" firstHeaderRow="1" firstDataRow="1" firstDataCol="1"/>
  <pivotFields count="14">
    <pivotField showAll="0"/>
    <pivotField numFmtId="58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>
      <items count="10">
        <item m="1" x="5"/>
        <item x="3"/>
        <item m="1" x="7"/>
        <item m="1" x="8"/>
        <item x="1"/>
        <item x="0"/>
        <item x="4"/>
        <item m="1" x="6"/>
        <item x="2"/>
        <item t="default"/>
      </items>
    </pivotField>
    <pivotField numFmtId="179" showAll="0"/>
    <pivotField showAll="0"/>
    <pivotField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axis="axisRow" sortType="ascending" showAll="0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80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Sales" fld="10" baseField="0" baseItem="0"/>
  </dataFields>
  <formats count="2">
    <format dxfId="0">
      <pivotArea outline="0" collapsedLevelsAreSubtotals="1" fieldPosition="0"/>
    </format>
    <format dxfId="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9">
  <location ref="D10:F18" firstHeaderRow="0" firstDataRow="1" firstDataCol="1"/>
  <pivotFields count="14">
    <pivotField showAll="0"/>
    <pivotField numFmtId="58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>
      <items count="10">
        <item m="1" x="5"/>
        <item x="3"/>
        <item m="1" x="7"/>
        <item m="1" x="8"/>
        <item x="1"/>
        <item x="0"/>
        <item x="4"/>
        <item m="1" x="6"/>
        <item x="2"/>
        <item t="default"/>
      </items>
    </pivotField>
    <pivotField numFmtId="179" showAll="0"/>
    <pivotField numFmtId="1" showAll="0"/>
    <pivotField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6">
        <item x="3"/>
        <item x="2"/>
        <item x="0"/>
        <item x="1"/>
        <item x="4"/>
        <item t="default"/>
      </items>
    </pivotField>
    <pivotField dataField="1" numFmtId="180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0" baseField="0" baseItem="0" numFmtId="178"/>
    <dataField name="Average Sales" fld="10" subtotal="average" baseField="0" baseItem="0"/>
  </dataFields>
  <formats count="4">
    <format dxfId="2">
      <pivotArea collapsedLevelsAreSubtotals="1" fieldPosition="0">
        <references count="2">
          <reference field="4294967294" count="1" selected="0">
            <x v="1"/>
          </reference>
          <reference field="11" count="1">
            <x v="0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11" count="6">
            <x v="1"/>
            <x v="2"/>
            <x v="3"/>
            <x v="4"/>
            <x v="5"/>
            <x v="6"/>
          </reference>
        </references>
      </pivotArea>
    </format>
    <format dxfId="4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4">
  <location ref="A1:B57" firstHeaderRow="1" firstDataRow="1" firstDataCol="1"/>
  <pivotFields count="14">
    <pivotField showAll="0"/>
    <pivotField numFmtId="58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>
      <items count="10">
        <item m="1" x="5"/>
        <item x="3"/>
        <item m="1" x="7"/>
        <item m="1" x="8"/>
        <item x="1"/>
        <item x="0"/>
        <item x="4"/>
        <item m="1" x="6"/>
        <item x="2"/>
        <item t="default"/>
      </items>
    </pivotField>
    <pivotField numFmtId="179" showAll="0"/>
    <pivotField showAll="0"/>
    <pivotField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6">
        <item x="3"/>
        <item x="2"/>
        <item x="0"/>
        <item x="1"/>
        <item x="4"/>
        <item t="default"/>
      </items>
    </pivotField>
    <pivotField dataField="1" numFmtId="180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3"/>
    <field x="12"/>
    <field x="11"/>
  </rowFields>
  <rowItems count="56">
    <i>
      <x v="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>
      <x v="12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t="grand">
      <x/>
    </i>
  </rowItems>
  <colItems count="1">
    <i/>
  </colItems>
  <dataFields count="1">
    <dataField name="Total Sales" fld="10" baseField="12" baseItem="11" numFmtId="180"/>
  </dataFields>
  <formats count="2">
    <format dxfId="6">
      <pivotArea outline="0" collapsedLevelsAreSubtotals="1" fieldPosition="0"/>
    </format>
    <format dxfId="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4">
  <location ref="H1:J7" firstHeaderRow="0" firstDataRow="1" firstDataCol="1"/>
  <pivotFields count="14">
    <pivotField showAll="0"/>
    <pivotField numFmtId="58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axis="axisRow" sortType="ascending" showAll="0">
      <items count="10">
        <item m="1" x="5"/>
        <item m="1" x="7"/>
        <item m="1" x="8"/>
        <item x="0"/>
        <item m="1" x="6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79" showAll="0"/>
    <pivotField showAll="0"/>
    <pivotField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dataField="1" numFmtId="180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6"/>
    </i>
    <i>
      <x v="5"/>
    </i>
    <i>
      <x v="8"/>
    </i>
    <i>
      <x v="3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 Sales" fld="10" baseField="0" baseItem="0" numFmtId="180"/>
    <dataField name="Average  Sales" fld="10" subtotal="average" baseField="3" baseItem="6"/>
  </dataFields>
  <formats count="2">
    <format dxfId="8">
      <pivotArea outline="0" collapsedLevelsAreSubtotals="1" fieldPosition="0"/>
    </format>
    <format dxfId="9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4">
  <location ref="D20:E24" firstHeaderRow="1" firstDataRow="1" firstDataCol="1"/>
  <pivotFields count="14">
    <pivotField showAll="0"/>
    <pivotField numFmtId="58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>
      <items count="10">
        <item m="1" x="5"/>
        <item x="3"/>
        <item m="1" x="7"/>
        <item m="1" x="8"/>
        <item x="1"/>
        <item x="0"/>
        <item x="4"/>
        <item m="1" x="6"/>
        <item x="2"/>
        <item t="default"/>
      </items>
    </pivotField>
    <pivotField numFmtId="179" showAll="0"/>
    <pivotField numFmtId="1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dataField="1" numFmtId="180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H17:I23" firstHeaderRow="1" firstDataRow="1" firstDataCol="1"/>
  <pivotFields count="14">
    <pivotField showAll="0"/>
    <pivotField numFmtId="58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>
      <items count="10">
        <item m="1" x="5"/>
        <item x="3"/>
        <item m="1" x="7"/>
        <item m="1" x="8"/>
        <item x="1"/>
        <item x="0"/>
        <item x="4"/>
        <item m="1" x="6"/>
        <item x="2"/>
        <item t="default"/>
      </items>
    </pivotField>
    <pivotField numFmtId="179" showAll="0"/>
    <pivotField numFmtId="1"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6">
        <item x="2"/>
        <item x="1"/>
        <item x="4"/>
        <item x="0"/>
        <item x="3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dataField="1" numFmtId="180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Sales" fld="10" baseField="7" baseItem="0" numFmtId="178"/>
  </dataFields>
  <formats count="1">
    <format dxfId="1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>
  <location ref="D27:F30" firstHeaderRow="0" firstDataRow="1" firstDataCol="1"/>
  <pivotFields count="14">
    <pivotField showAll="0"/>
    <pivotField axis="axisRow" numFmtId="58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>
      <items count="10">
        <item m="1" x="5"/>
        <item x="3"/>
        <item m="1" x="7"/>
        <item m="1" x="8"/>
        <item x="1"/>
        <item x="0"/>
        <item x="4"/>
        <item m="1" x="6"/>
        <item x="2"/>
        <item t="default"/>
      </items>
    </pivotField>
    <pivotField numFmtId="179" showAll="0"/>
    <pivotField dataField="1" numFmtId="1" showAll="0"/>
    <pivotField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dataField="1" numFmtId="180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defaultSubtotal="0" showAl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defaultSubtotal="0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3"/>
    <field x="12"/>
    <field x="1"/>
  </rowFields>
  <rowItems count="3"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0" baseItem="0"/>
    <dataField name="Sum of Quantity" fld="5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8">
  <location ref="H10:I14" firstHeaderRow="1" firstDataRow="1" firstDataCol="1"/>
  <pivotFields count="14">
    <pivotField showAll="0"/>
    <pivotField numFmtId="58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>
      <items count="10">
        <item m="1" x="5"/>
        <item x="3"/>
        <item m="1" x="7"/>
        <item m="1" x="8"/>
        <item x="1"/>
        <item x="0"/>
        <item x="4"/>
        <item m="1" x="6"/>
        <item x="2"/>
        <item t="default"/>
      </items>
    </pivotField>
    <pivotField numFmtId="179" showAll="0"/>
    <pivotField numFmtId="1"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>
      <items count="6">
        <item x="3"/>
        <item x="2"/>
        <item x="0"/>
        <item x="1"/>
        <item x="4"/>
        <item t="default"/>
      </items>
    </pivotField>
    <pivotField numFmtId="180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 Method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y" sourceName="Day">
  <pivotTables>
    <pivotTable tabId="5" name="PivotTable2"/>
    <pivotTable tabId="5" name="PivotTable4"/>
    <pivotTable tabId="5" name="PivotTable1"/>
    <pivotTable tabId="5" name="PivotTable13"/>
    <pivotTable tabId="5" name="PivotTable15"/>
    <pivotTable tabId="5" name="PivotTable16"/>
    <pivotTable tabId="5" name="PivotTable3"/>
    <pivotTable tabId="5" name="PivotTable5"/>
  </pivotTables>
  <data>
    <tabular pivotCacheId="1">
      <items count="7">
        <i x="0" s="1"/>
        <i x="1" s="1"/>
        <i x="2" s="1"/>
        <i x="3" s="1"/>
        <i x="4" s="1"/>
        <i x="5" s="1"/>
        <i x="6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5" name="PivotTable2"/>
    <pivotTable tabId="5" name="PivotTable1"/>
    <pivotTable tabId="5" name="PivotTable4"/>
    <pivotTable tabId="5" name="PivotTable13"/>
    <pivotTable tabId="5" name="PivotTable15"/>
    <pivotTable tabId="5" name="PivotTable16"/>
    <pivotTable tabId="5" name="PivotTable3"/>
    <pivotTable tabId="5" name="PivotTable5"/>
  </pivotTables>
  <data>
    <tabular pivotCacheId="1">
      <items count="5">
        <i x="3" s="1"/>
        <i x="2" s="1"/>
        <i x="0" s="1"/>
        <i x="1" s="1"/>
        <i x="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 Method">
  <pivotTables>
    <pivotTable tabId="5" name="PivotTable2"/>
    <pivotTable tabId="5" name="PivotTable1"/>
    <pivotTable tabId="5" name="PivotTable4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urchase_Type" sourceName="Purchase Type">
  <pivotTables>
    <pivotTable tabId="5" name="PivotTable2"/>
    <pivotTable tabId="5" name="PivotTable1"/>
    <pivotTable tabId="5" name="PivotTable4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5" name="PivotTable2"/>
    <pivotTable tabId="5" name="PivotTable1"/>
    <pivotTable tabId="5" name="PivotTable4"/>
    <pivotTable tabId="5" name="PivotTable13"/>
    <pivotTable tabId="5" name="PivotTable15"/>
    <pivotTable tabId="5" name="PivotTable16"/>
    <pivotTable tabId="5" name="PivotTable3"/>
    <pivotTable tabId="5" name="PivotTable5"/>
  </pivotTables>
  <data>
    <tabular pivotCacheId="1">
      <items count="9">
        <i x="3" s="1"/>
        <i x="1" s="1"/>
        <i x="0" s="1"/>
        <i x="4" s="1"/>
        <i x="2" s="1"/>
        <i x="5" s="1" nd="1"/>
        <i x="7" s="1" nd="1"/>
        <i x="8" s="1" nd="1"/>
        <i x="6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y" cache="Slicer_Day" caption="Day" style="SlicerStyleLight1" rowHeight="251883"/>
  <slicer name="City" cache="Slicer_City" caption="City" style="SlicerStyleLight1" rowHeight="251883"/>
  <slicer name="Payment Method" cache="Slicer_Payment_Method" caption="Payment Method" style="SlicerStyleLight1" rowHeight="251883"/>
  <slicer name="Purchase Type" cache="Slicer_Purchase_Type" caption="Purchase Type" style="SlicerStyleLight1" rowHeight="251883"/>
  <slicer name="Product" cache="Slicer_Product" caption="Product" style="SlicerStyleLight1" rowHeight="251883"/>
</slicers>
</file>

<file path=xl/tables/table1.xml><?xml version="1.0" encoding="utf-8"?>
<table xmlns="http://schemas.openxmlformats.org/spreadsheetml/2006/main" id="1" name="Table1" displayName="Table1" ref="A1:L255" totalsRowShown="0">
  <autoFilter xmlns:etc="http://www.wps.cn/officeDocument/2017/etCustomData" ref="A1:L255" etc:filterBottomFollowUsedRange="0"/>
  <tableColumns count="12">
    <tableColumn id="1" name="Order ID"/>
    <tableColumn id="2" name="Date" dataDxfId="12"/>
    <tableColumn id="11" name="Month" dataDxfId="13">
      <calculatedColumnFormula>TEXT(Table1[[#This Row],[Date]],"mmmm")</calculatedColumnFormula>
    </tableColumn>
    <tableColumn id="3" name="Product"/>
    <tableColumn id="4" name="Price" dataDxfId="14"/>
    <tableColumn id="5" name="Quantity" dataDxfId="15"/>
    <tableColumn id="6" name="Purchase Type"/>
    <tableColumn id="7" name="Payment Method"/>
    <tableColumn id="17" name="Manager"/>
    <tableColumn id="9" name="City"/>
    <tableColumn id="10" name="Sales" dataDxfId="16">
      <calculatedColumnFormula>E2*F2</calculatedColumnFormula>
    </tableColumn>
    <tableColumn id="12" name="Day" dataDxfId="17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5" workbookViewId="0">
      <selection activeCell="I23" sqref="I23"/>
    </sheetView>
  </sheetViews>
  <sheetFormatPr defaultColWidth="9" defaultRowHeight="14"/>
  <sheetData/>
  <sheetProtection sheet="1" objects="1" scenarios="1"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0"/>
  <sheetViews>
    <sheetView workbookViewId="0">
      <selection activeCell="B26" sqref="B26"/>
    </sheetView>
  </sheetViews>
  <sheetFormatPr defaultColWidth="9" defaultRowHeight="14"/>
  <cols>
    <col min="1" max="1" width="12.45" customWidth="1"/>
    <col min="2" max="2" width="15.0916666666667" style="17" customWidth="1"/>
    <col min="3" max="3" width="14.2666666666667" customWidth="1"/>
    <col min="4" max="4" width="14" customWidth="1"/>
    <col min="5" max="5" width="14" style="17" customWidth="1"/>
    <col min="6" max="6" width="17.3666666666667" customWidth="1"/>
    <col min="7" max="7" width="12.45" customWidth="1"/>
    <col min="8" max="8" width="12.45" style="17" customWidth="1"/>
    <col min="9" max="9" width="26.2666666666667" customWidth="1"/>
    <col min="10" max="10" width="12.6333333333333" customWidth="1"/>
    <col min="11" max="11" width="12.2666666666667" customWidth="1"/>
    <col min="13" max="13" width="12.45" customWidth="1"/>
    <col min="14" max="14" width="11.8166666666667" customWidth="1"/>
    <col min="15" max="15" width="9.36666666666667" customWidth="1"/>
  </cols>
  <sheetData>
    <row r="1" spans="1:15">
      <c r="A1" t="s">
        <v>0</v>
      </c>
      <c r="B1" s="17" t="s">
        <v>1</v>
      </c>
      <c r="D1" t="s">
        <v>0</v>
      </c>
      <c r="E1" s="17" t="s">
        <v>2</v>
      </c>
      <c r="H1" t="s">
        <v>0</v>
      </c>
      <c r="I1" t="s">
        <v>3</v>
      </c>
      <c r="J1" t="s">
        <v>4</v>
      </c>
      <c r="N1" t="str">
        <f>INDEX(H2:H6,MATCH(MAX(I2:I6),I2:I6,0))</f>
        <v>Burger</v>
      </c>
      <c r="O1" s="17">
        <f>MAX(I2:I6)</f>
        <v>376999.8069</v>
      </c>
    </row>
    <row r="2" spans="1:15">
      <c r="A2" s="19" t="s">
        <v>5</v>
      </c>
      <c r="B2" s="17">
        <v>332114.6584</v>
      </c>
      <c r="D2" s="19" t="s">
        <v>6</v>
      </c>
      <c r="E2" s="17">
        <v>79800.3051</v>
      </c>
      <c r="H2" s="19" t="s">
        <v>7</v>
      </c>
      <c r="I2" s="17">
        <v>48999.804</v>
      </c>
      <c r="J2" s="17">
        <v>999.995999999999</v>
      </c>
      <c r="N2" t="str">
        <f>INDEX(H11:H13,MATCH(MAX(I11:I13),I11:I13,0))</f>
        <v>Credit Card</v>
      </c>
      <c r="O2">
        <f>MAX(I11:I13)</f>
        <v>120</v>
      </c>
    </row>
    <row r="3" spans="1:15">
      <c r="A3" s="20" t="s">
        <v>8</v>
      </c>
      <c r="B3" s="17">
        <v>5200.0023</v>
      </c>
      <c r="D3" s="19" t="s">
        <v>9</v>
      </c>
      <c r="E3" s="17">
        <v>100600.1313</v>
      </c>
      <c r="H3" s="19" t="s">
        <v>10</v>
      </c>
      <c r="I3" s="17">
        <v>103200.263</v>
      </c>
      <c r="J3" s="17">
        <v>2064.00526</v>
      </c>
      <c r="N3" t="str">
        <f>INDEX(H18:H22,MATCH(MAX(I18:I22),I18:I22,0))</f>
        <v>Joao Silva</v>
      </c>
      <c r="O3" s="21">
        <f>MAX(I18:I22)</f>
        <v>241714.1157</v>
      </c>
    </row>
    <row r="4" spans="1:14">
      <c r="A4" s="20" t="s">
        <v>11</v>
      </c>
      <c r="B4" s="17">
        <v>12400.0731</v>
      </c>
      <c r="D4" s="19" t="s">
        <v>12</v>
      </c>
      <c r="E4" s="17">
        <v>136200.2665</v>
      </c>
      <c r="H4" s="19" t="s">
        <v>13</v>
      </c>
      <c r="I4" s="17">
        <v>114641.695</v>
      </c>
      <c r="J4" s="17">
        <v>2204.64798076923</v>
      </c>
      <c r="N4" t="s">
        <v>14</v>
      </c>
    </row>
    <row r="5" spans="1:10">
      <c r="A5" s="20" t="s">
        <v>15</v>
      </c>
      <c r="B5" s="17">
        <v>14200.0386</v>
      </c>
      <c r="D5" s="19" t="s">
        <v>16</v>
      </c>
      <c r="E5" s="17">
        <v>211201.0406</v>
      </c>
      <c r="H5" s="19" t="s">
        <v>17</v>
      </c>
      <c r="I5" s="17">
        <v>125674.2903</v>
      </c>
      <c r="J5" s="17">
        <v>2464.20177058823</v>
      </c>
    </row>
    <row r="6" spans="1:10">
      <c r="A6" s="20" t="s">
        <v>18</v>
      </c>
      <c r="B6" s="17">
        <v>13200.0426</v>
      </c>
      <c r="D6" s="19" t="s">
        <v>19</v>
      </c>
      <c r="E6" s="17">
        <v>241714.1157</v>
      </c>
      <c r="H6" s="19" t="s">
        <v>20</v>
      </c>
      <c r="I6" s="17">
        <v>376999.8069</v>
      </c>
      <c r="J6" s="17">
        <v>7249.99628653846</v>
      </c>
    </row>
    <row r="7" spans="1:10">
      <c r="A7" s="20" t="s">
        <v>21</v>
      </c>
      <c r="B7" s="17">
        <v>14400.0156</v>
      </c>
      <c r="D7" s="19" t="s">
        <v>22</v>
      </c>
      <c r="E7" s="17">
        <v>769515.8592</v>
      </c>
      <c r="H7" s="19" t="s">
        <v>22</v>
      </c>
      <c r="I7" s="17">
        <v>769515.859199998</v>
      </c>
      <c r="J7" s="17">
        <v>3029.58999685038</v>
      </c>
    </row>
    <row r="8" spans="1:2">
      <c r="A8" s="20" t="s">
        <v>23</v>
      </c>
      <c r="B8" s="17">
        <v>14000.0535</v>
      </c>
    </row>
    <row r="9" spans="1:2">
      <c r="A9" s="20" t="s">
        <v>24</v>
      </c>
      <c r="B9" s="17">
        <v>27674.4512</v>
      </c>
    </row>
    <row r="10" spans="1:9">
      <c r="A10" s="20" t="s">
        <v>25</v>
      </c>
      <c r="B10" s="17">
        <v>17839.3445</v>
      </c>
      <c r="D10" t="s">
        <v>0</v>
      </c>
      <c r="E10" t="s">
        <v>1</v>
      </c>
      <c r="F10" t="s">
        <v>26</v>
      </c>
      <c r="H10" t="s">
        <v>0</v>
      </c>
      <c r="I10" t="s">
        <v>27</v>
      </c>
    </row>
    <row r="11" spans="1:9">
      <c r="A11" s="20" t="s">
        <v>28</v>
      </c>
      <c r="B11" s="17">
        <v>13600.0305</v>
      </c>
      <c r="D11" s="19" t="s">
        <v>29</v>
      </c>
      <c r="E11" s="21">
        <v>107200.2977</v>
      </c>
      <c r="F11" s="21">
        <v>2821.06046578947</v>
      </c>
      <c r="H11" s="19" t="s">
        <v>30</v>
      </c>
      <c r="I11" s="22">
        <v>76</v>
      </c>
    </row>
    <row r="12" spans="1:9">
      <c r="A12" s="20" t="s">
        <v>31</v>
      </c>
      <c r="B12" s="17">
        <v>13600.0305</v>
      </c>
      <c r="D12" s="19" t="s">
        <v>32</v>
      </c>
      <c r="E12" s="21">
        <v>114200.1469</v>
      </c>
      <c r="F12" s="21">
        <v>3005.26702368421</v>
      </c>
      <c r="H12" s="19" t="s">
        <v>33</v>
      </c>
      <c r="I12" s="22">
        <v>120</v>
      </c>
    </row>
    <row r="13" spans="1:9">
      <c r="A13" s="20" t="s">
        <v>34</v>
      </c>
      <c r="B13" s="17">
        <v>14000.0535</v>
      </c>
      <c r="D13" s="19" t="s">
        <v>14</v>
      </c>
      <c r="E13" s="21">
        <v>116674.8169</v>
      </c>
      <c r="F13" s="21">
        <v>3240.96713611111</v>
      </c>
      <c r="H13" s="19" t="s">
        <v>35</v>
      </c>
      <c r="I13" s="22">
        <v>58</v>
      </c>
    </row>
    <row r="14" spans="1:9">
      <c r="A14" s="20" t="s">
        <v>36</v>
      </c>
      <c r="B14" s="17">
        <v>14400.1114</v>
      </c>
      <c r="D14" s="19" t="s">
        <v>37</v>
      </c>
      <c r="E14" s="21">
        <v>106600.2551</v>
      </c>
      <c r="F14" s="21">
        <v>3135.30162058823</v>
      </c>
      <c r="H14" s="19" t="s">
        <v>22</v>
      </c>
      <c r="I14" s="22">
        <v>254</v>
      </c>
    </row>
    <row r="15" spans="1:8">
      <c r="A15" s="20" t="s">
        <v>38</v>
      </c>
      <c r="B15" s="17">
        <v>14000.0194</v>
      </c>
      <c r="D15" s="19" t="s">
        <v>39</v>
      </c>
      <c r="E15" s="21">
        <v>104400.3518</v>
      </c>
      <c r="F15" s="21">
        <v>2982.86719428571</v>
      </c>
      <c r="H15"/>
    </row>
    <row r="16" spans="1:6">
      <c r="A16" s="20" t="s">
        <v>40</v>
      </c>
      <c r="B16" s="17">
        <v>8200.0466</v>
      </c>
      <c r="D16" s="19" t="s">
        <v>41</v>
      </c>
      <c r="E16" s="21">
        <v>105400.3074</v>
      </c>
      <c r="F16" s="21">
        <v>2848.65695675676</v>
      </c>
    </row>
    <row r="17" spans="1:9">
      <c r="A17" s="20" t="s">
        <v>42</v>
      </c>
      <c r="B17" s="17">
        <v>14000.0838</v>
      </c>
      <c r="D17" s="19" t="s">
        <v>43</v>
      </c>
      <c r="E17" s="21">
        <v>115039.6834</v>
      </c>
      <c r="F17" s="21">
        <v>3195.54676111111</v>
      </c>
      <c r="H17" t="s">
        <v>0</v>
      </c>
      <c r="I17" t="s">
        <v>44</v>
      </c>
    </row>
    <row r="18" spans="1:9">
      <c r="A18" s="20" t="s">
        <v>45</v>
      </c>
      <c r="B18" s="17">
        <v>13599.9918</v>
      </c>
      <c r="D18" s="19" t="s">
        <v>22</v>
      </c>
      <c r="E18" s="21">
        <v>769515.859200001</v>
      </c>
      <c r="F18" s="21">
        <v>3029.5899968504</v>
      </c>
      <c r="H18" s="19" t="s">
        <v>46</v>
      </c>
      <c r="I18" s="21">
        <v>241714.1157</v>
      </c>
    </row>
    <row r="19" spans="1:9">
      <c r="A19" s="20" t="s">
        <v>47</v>
      </c>
      <c r="B19" s="17">
        <v>13800.0378</v>
      </c>
      <c r="E19"/>
      <c r="H19" s="19" t="s">
        <v>48</v>
      </c>
      <c r="I19" s="21">
        <v>136200.2665</v>
      </c>
    </row>
    <row r="20" spans="1:9">
      <c r="A20" s="20" t="s">
        <v>49</v>
      </c>
      <c r="B20" s="17">
        <v>13600.0259</v>
      </c>
      <c r="D20" t="s">
        <v>0</v>
      </c>
      <c r="E20" t="s">
        <v>2</v>
      </c>
      <c r="H20" s="19" t="s">
        <v>50</v>
      </c>
      <c r="I20" s="21">
        <v>79800.3051</v>
      </c>
    </row>
    <row r="21" spans="1:9">
      <c r="A21" s="20" t="s">
        <v>51</v>
      </c>
      <c r="B21" s="17">
        <v>13399.9799</v>
      </c>
      <c r="D21" s="19" t="s">
        <v>52</v>
      </c>
      <c r="E21" s="22">
        <v>178600.473</v>
      </c>
      <c r="H21" s="19" t="s">
        <v>53</v>
      </c>
      <c r="I21" s="21">
        <v>211201.0406</v>
      </c>
    </row>
    <row r="22" spans="1:9">
      <c r="A22" s="20" t="s">
        <v>54</v>
      </c>
      <c r="B22" s="17">
        <v>13200.0638</v>
      </c>
      <c r="D22" s="19" t="s">
        <v>55</v>
      </c>
      <c r="E22" s="22">
        <v>285713.9994</v>
      </c>
      <c r="H22" s="19" t="s">
        <v>56</v>
      </c>
      <c r="I22" s="21">
        <v>100600.1313</v>
      </c>
    </row>
    <row r="23" spans="1:9">
      <c r="A23" s="20" t="s">
        <v>57</v>
      </c>
      <c r="B23" s="17">
        <v>13399.9799</v>
      </c>
      <c r="D23" s="19" t="s">
        <v>58</v>
      </c>
      <c r="E23" s="22">
        <v>305201.3868</v>
      </c>
      <c r="H23" s="19" t="s">
        <v>22</v>
      </c>
      <c r="I23" s="21">
        <v>769515.8592</v>
      </c>
    </row>
    <row r="24" spans="1:8">
      <c r="A24" s="20" t="s">
        <v>59</v>
      </c>
      <c r="B24" s="17">
        <v>13400.0454</v>
      </c>
      <c r="D24" s="19" t="s">
        <v>22</v>
      </c>
      <c r="E24" s="22">
        <v>769515.8592</v>
      </c>
      <c r="H24"/>
    </row>
    <row r="25" spans="1:8">
      <c r="A25" s="20" t="s">
        <v>60</v>
      </c>
      <c r="B25" s="17">
        <v>13400.0454</v>
      </c>
      <c r="H25"/>
    </row>
    <row r="26" spans="1:8">
      <c r="A26" s="20" t="s">
        <v>61</v>
      </c>
      <c r="B26" s="17">
        <v>13600.0914</v>
      </c>
      <c r="H26"/>
    </row>
    <row r="27" spans="1:8">
      <c r="A27" s="19" t="s">
        <v>62</v>
      </c>
      <c r="B27" s="17">
        <v>437401.2008</v>
      </c>
      <c r="D27" t="s">
        <v>0</v>
      </c>
      <c r="E27" t="s">
        <v>2</v>
      </c>
      <c r="F27" t="s">
        <v>63</v>
      </c>
      <c r="H27"/>
    </row>
    <row r="28" spans="1:8">
      <c r="A28" s="20" t="s">
        <v>64</v>
      </c>
      <c r="B28" s="17">
        <v>13400.1144</v>
      </c>
      <c r="D28" s="19" t="s">
        <v>5</v>
      </c>
      <c r="E28" s="21">
        <v>332114.6584</v>
      </c>
      <c r="F28" s="21">
        <v>50509.0700000001</v>
      </c>
      <c r="H28"/>
    </row>
    <row r="29" spans="1:8">
      <c r="A29" s="20" t="s">
        <v>65</v>
      </c>
      <c r="B29" s="17">
        <v>14000.0535</v>
      </c>
      <c r="D29" s="19" t="s">
        <v>62</v>
      </c>
      <c r="E29" s="21">
        <v>437401.2008</v>
      </c>
      <c r="F29" s="21">
        <v>66486.2400000001</v>
      </c>
      <c r="H29"/>
    </row>
    <row r="30" spans="1:8">
      <c r="A30" s="20" t="s">
        <v>66</v>
      </c>
      <c r="B30" s="17">
        <v>14000.0535</v>
      </c>
      <c r="D30" s="19" t="s">
        <v>22</v>
      </c>
      <c r="E30" s="21">
        <v>769515.8592</v>
      </c>
      <c r="F30" s="21">
        <v>116995.31</v>
      </c>
      <c r="H30"/>
    </row>
    <row r="31" spans="1:8">
      <c r="A31" s="20" t="s">
        <v>67</v>
      </c>
      <c r="B31" s="17">
        <v>9000.1007</v>
      </c>
      <c r="E31"/>
      <c r="H31"/>
    </row>
    <row r="32" spans="1:8">
      <c r="A32" s="20" t="s">
        <v>68</v>
      </c>
      <c r="B32" s="17">
        <v>14200.0386</v>
      </c>
      <c r="E32"/>
      <c r="H32"/>
    </row>
    <row r="33" spans="1:8">
      <c r="A33" s="20" t="s">
        <v>69</v>
      </c>
      <c r="B33" s="17">
        <v>14000.1225</v>
      </c>
      <c r="E33"/>
      <c r="H33"/>
    </row>
    <row r="34" spans="1:5">
      <c r="A34" s="20" t="s">
        <v>70</v>
      </c>
      <c r="B34" s="17">
        <v>14000.0535</v>
      </c>
      <c r="E34"/>
    </row>
    <row r="35" spans="1:5">
      <c r="A35" s="20" t="s">
        <v>71</v>
      </c>
      <c r="B35" s="17">
        <v>14200.0995</v>
      </c>
      <c r="E35"/>
    </row>
    <row r="36" spans="1:5">
      <c r="A36" s="20" t="s">
        <v>72</v>
      </c>
      <c r="B36" s="17">
        <v>14600.0616</v>
      </c>
      <c r="E36"/>
    </row>
    <row r="37" spans="1:5">
      <c r="A37" s="20" t="s">
        <v>73</v>
      </c>
      <c r="B37" s="17">
        <v>14600.0616</v>
      </c>
      <c r="E37"/>
    </row>
    <row r="38" spans="1:5">
      <c r="A38" s="20" t="s">
        <v>74</v>
      </c>
      <c r="B38" s="17">
        <v>15000.0881</v>
      </c>
      <c r="E38"/>
    </row>
    <row r="39" spans="1:5">
      <c r="A39" s="20" t="s">
        <v>75</v>
      </c>
      <c r="B39" s="17">
        <v>14600.0616</v>
      </c>
      <c r="E39"/>
    </row>
    <row r="40" spans="1:5">
      <c r="A40" s="20" t="s">
        <v>76</v>
      </c>
      <c r="B40" s="17">
        <v>14600.0616</v>
      </c>
      <c r="E40"/>
    </row>
    <row r="41" spans="1:5">
      <c r="A41" s="20" t="s">
        <v>77</v>
      </c>
      <c r="B41" s="17">
        <v>14600.0106</v>
      </c>
      <c r="E41"/>
    </row>
    <row r="42" spans="1:5">
      <c r="A42" s="20" t="s">
        <v>78</v>
      </c>
      <c r="B42" s="17">
        <v>14400.0945</v>
      </c>
      <c r="E42"/>
    </row>
    <row r="43" spans="1:5">
      <c r="A43" s="20" t="s">
        <v>79</v>
      </c>
      <c r="B43" s="17">
        <v>15000.0371</v>
      </c>
      <c r="E43"/>
    </row>
    <row r="44" spans="1:5">
      <c r="A44" s="20" t="s">
        <v>80</v>
      </c>
      <c r="B44" s="17">
        <v>15400.095</v>
      </c>
      <c r="E44"/>
    </row>
    <row r="45" spans="1:5">
      <c r="A45" s="20" t="s">
        <v>81</v>
      </c>
      <c r="B45" s="17">
        <v>15600.0111</v>
      </c>
      <c r="E45"/>
    </row>
    <row r="46" spans="1:5">
      <c r="A46" s="20" t="s">
        <v>82</v>
      </c>
      <c r="B46" s="17">
        <v>15799.9613</v>
      </c>
      <c r="E46"/>
    </row>
    <row r="47" spans="1:5">
      <c r="A47" s="20" t="s">
        <v>83</v>
      </c>
      <c r="B47" s="17">
        <v>16000.0073</v>
      </c>
      <c r="E47"/>
    </row>
    <row r="48" spans="1:5">
      <c r="A48" s="20" t="s">
        <v>84</v>
      </c>
      <c r="B48" s="17">
        <v>16399.9694</v>
      </c>
      <c r="E48"/>
    </row>
    <row r="49" spans="1:5">
      <c r="A49" s="20" t="s">
        <v>85</v>
      </c>
      <c r="B49" s="17">
        <v>16599.9644</v>
      </c>
      <c r="E49"/>
    </row>
    <row r="50" spans="1:5">
      <c r="A50" s="20" t="s">
        <v>86</v>
      </c>
      <c r="B50" s="17">
        <v>16000.0218</v>
      </c>
      <c r="E50"/>
    </row>
    <row r="51" spans="1:5">
      <c r="A51" s="20" t="s">
        <v>87</v>
      </c>
      <c r="B51" s="17">
        <v>16399.9839</v>
      </c>
      <c r="E51"/>
    </row>
    <row r="52" spans="1:5">
      <c r="A52" s="20" t="s">
        <v>88</v>
      </c>
      <c r="B52" s="17">
        <v>16599.9789</v>
      </c>
      <c r="E52"/>
    </row>
    <row r="53" spans="1:5">
      <c r="A53" s="20" t="s">
        <v>89</v>
      </c>
      <c r="B53" s="17">
        <v>17000.0199</v>
      </c>
      <c r="E53"/>
    </row>
    <row r="54" spans="1:5">
      <c r="A54" s="20" t="s">
        <v>90</v>
      </c>
      <c r="B54" s="17">
        <v>17000.0199</v>
      </c>
      <c r="E54"/>
    </row>
    <row r="55" spans="1:5">
      <c r="A55" s="20" t="s">
        <v>91</v>
      </c>
      <c r="B55" s="17">
        <v>17599.977</v>
      </c>
      <c r="E55"/>
    </row>
    <row r="56" spans="1:5">
      <c r="A56" s="20" t="s">
        <v>92</v>
      </c>
      <c r="B56" s="17">
        <v>16800.078</v>
      </c>
      <c r="E56"/>
    </row>
    <row r="57" spans="1:5">
      <c r="A57" s="19" t="s">
        <v>22</v>
      </c>
      <c r="B57" s="17">
        <v>769515.8592</v>
      </c>
      <c r="E57"/>
    </row>
    <row r="58" spans="2:5">
      <c r="B58"/>
      <c r="E58"/>
    </row>
    <row r="59" spans="2:5">
      <c r="B59"/>
      <c r="E59"/>
    </row>
    <row r="60" spans="2:5">
      <c r="B60"/>
      <c r="E60"/>
    </row>
    <row r="61" spans="2:5">
      <c r="B61"/>
      <c r="E61"/>
    </row>
    <row r="62" spans="2:5">
      <c r="B62"/>
      <c r="E62"/>
    </row>
    <row r="63" spans="2:5">
      <c r="B63"/>
      <c r="E63"/>
    </row>
    <row r="64" spans="2:5">
      <c r="B64"/>
      <c r="E64"/>
    </row>
    <row r="65" spans="2:5">
      <c r="B65"/>
      <c r="E65"/>
    </row>
    <row r="66" spans="2:5">
      <c r="B66"/>
      <c r="E66"/>
    </row>
    <row r="67" spans="2:5">
      <c r="B67"/>
      <c r="E67"/>
    </row>
    <row r="68" spans="2:5">
      <c r="B68"/>
      <c r="E68"/>
    </row>
    <row r="69" spans="2:5">
      <c r="B69"/>
      <c r="E69"/>
    </row>
    <row r="70" spans="2:5">
      <c r="B70"/>
      <c r="E70"/>
    </row>
    <row r="71" spans="2:5">
      <c r="B71"/>
      <c r="E71"/>
    </row>
    <row r="72" spans="2:5">
      <c r="B72"/>
      <c r="E72"/>
    </row>
    <row r="73" spans="2:5">
      <c r="B73"/>
      <c r="E73"/>
    </row>
    <row r="74" spans="2:5">
      <c r="B74"/>
      <c r="E74"/>
    </row>
    <row r="75" spans="2:5">
      <c r="B75"/>
      <c r="E75"/>
    </row>
    <row r="76" spans="2:5">
      <c r="B76"/>
      <c r="E76"/>
    </row>
    <row r="77" spans="2:5">
      <c r="B77"/>
      <c r="E77"/>
    </row>
    <row r="78" spans="2:5">
      <c r="B78"/>
      <c r="E78"/>
    </row>
    <row r="79" spans="2:5">
      <c r="B79"/>
      <c r="E79"/>
    </row>
    <row r="80" spans="2:5">
      <c r="B80"/>
      <c r="E80"/>
    </row>
    <row r="81" spans="2:5">
      <c r="B81"/>
      <c r="E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</sheetData>
  <sheetProtection sheet="1" objects="1" scenarios="1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0"/>
  <sheetViews>
    <sheetView workbookViewId="0">
      <selection activeCell="P253" sqref="P253"/>
    </sheetView>
  </sheetViews>
  <sheetFormatPr defaultColWidth="9" defaultRowHeight="14"/>
  <cols>
    <col min="1" max="1" width="9.63333333333333" customWidth="1"/>
    <col min="2" max="2" width="10.8166666666667" style="14" customWidth="1"/>
    <col min="3" max="3" width="10.0916666666667" style="14" customWidth="1"/>
    <col min="4" max="4" width="17.6333333333333" customWidth="1"/>
    <col min="5" max="5" width="8.09166666666667" style="15" customWidth="1"/>
    <col min="6" max="6" width="10" style="16" customWidth="1"/>
    <col min="7" max="7" width="14.9083333333333" customWidth="1"/>
    <col min="8" max="9" width="16.8166666666667" customWidth="1"/>
    <col min="10" max="10" width="7.725" customWidth="1"/>
    <col min="11" max="11" width="10.9083333333333" style="17" customWidth="1"/>
    <col min="12" max="12" width="10.1833333333333" customWidth="1"/>
    <col min="14" max="14" width="9.36666666666667" customWidth="1"/>
    <col min="16" max="16" width="10.1833333333333" customWidth="1"/>
    <col min="17" max="17" width="5.18333333333333" customWidth="1"/>
  </cols>
  <sheetData>
    <row r="1" spans="1:12">
      <c r="A1" t="s">
        <v>93</v>
      </c>
      <c r="B1" s="14" t="s">
        <v>94</v>
      </c>
      <c r="C1" s="14" t="s">
        <v>95</v>
      </c>
      <c r="D1" t="s">
        <v>96</v>
      </c>
      <c r="E1" s="15" t="s">
        <v>97</v>
      </c>
      <c r="F1" s="16" t="s">
        <v>98</v>
      </c>
      <c r="G1" t="s">
        <v>99</v>
      </c>
      <c r="H1" t="s">
        <v>100</v>
      </c>
      <c r="I1" t="s">
        <v>101</v>
      </c>
      <c r="J1" t="s">
        <v>102</v>
      </c>
      <c r="K1" s="17" t="s">
        <v>103</v>
      </c>
      <c r="L1" t="s">
        <v>104</v>
      </c>
    </row>
    <row r="2" spans="1:17">
      <c r="A2">
        <v>10452</v>
      </c>
      <c r="B2" s="14">
        <v>44872</v>
      </c>
      <c r="C2" s="14" t="str">
        <f>TEXT(Table1[[#This Row],[Date]],"mmmm")</f>
        <v>November</v>
      </c>
      <c r="D2" t="s">
        <v>17</v>
      </c>
      <c r="E2" s="15">
        <v>3.49</v>
      </c>
      <c r="F2" s="16">
        <v>573.07</v>
      </c>
      <c r="G2" t="s">
        <v>58</v>
      </c>
      <c r="H2" t="s">
        <v>35</v>
      </c>
      <c r="I2" t="s">
        <v>53</v>
      </c>
      <c r="J2" t="s">
        <v>16</v>
      </c>
      <c r="K2" s="17">
        <f t="shared" ref="K2:K65" si="0">E2*F2</f>
        <v>2000.0143</v>
      </c>
      <c r="L2" t="str">
        <f t="shared" ref="L2:L65" si="1">TEXT(A2,"dddd")</f>
        <v>Sunday</v>
      </c>
      <c r="N2" s="17">
        <f>SUM(K:K)</f>
        <v>769515.8592</v>
      </c>
      <c r="O2" s="17"/>
      <c r="P2" s="17"/>
      <c r="Q2" s="16"/>
    </row>
    <row r="3" spans="1:14">
      <c r="A3">
        <v>10453</v>
      </c>
      <c r="B3" s="14">
        <v>44872</v>
      </c>
      <c r="C3" s="14" t="str">
        <f>TEXT(Table1[[#This Row],[Date]],"mmmm")</f>
        <v>November</v>
      </c>
      <c r="D3" t="s">
        <v>10</v>
      </c>
      <c r="E3" s="15">
        <v>2.95</v>
      </c>
      <c r="F3" s="16">
        <v>745.76</v>
      </c>
      <c r="G3" t="s">
        <v>58</v>
      </c>
      <c r="H3" t="s">
        <v>35</v>
      </c>
      <c r="I3" t="s">
        <v>48</v>
      </c>
      <c r="J3" t="s">
        <v>12</v>
      </c>
      <c r="K3" s="17">
        <f t="shared" si="0"/>
        <v>2199.992</v>
      </c>
      <c r="L3" t="str">
        <f t="shared" si="1"/>
        <v>Monday</v>
      </c>
      <c r="N3" t="s">
        <v>105</v>
      </c>
    </row>
    <row r="4" spans="1:16">
      <c r="A4">
        <v>10454</v>
      </c>
      <c r="B4" s="14">
        <v>44872</v>
      </c>
      <c r="C4" s="14" t="str">
        <f>TEXT(Table1[[#This Row],[Date]],"mmmm")</f>
        <v>November</v>
      </c>
      <c r="D4" t="s">
        <v>7</v>
      </c>
      <c r="E4" s="15">
        <v>4.99</v>
      </c>
      <c r="F4" s="16">
        <v>200.4</v>
      </c>
      <c r="G4" t="s">
        <v>55</v>
      </c>
      <c r="H4" t="s">
        <v>35</v>
      </c>
      <c r="I4" t="s">
        <v>46</v>
      </c>
      <c r="J4" t="s">
        <v>19</v>
      </c>
      <c r="K4" s="17">
        <f t="shared" si="0"/>
        <v>999.996</v>
      </c>
      <c r="L4" t="str">
        <f t="shared" si="1"/>
        <v>Tuesday</v>
      </c>
      <c r="M4" s="17"/>
      <c r="N4" t="s">
        <v>106</v>
      </c>
      <c r="P4" s="17">
        <f>SUMIFS('Restaurant Data'!K:K,'Restaurant Data'!J:J,IF('Main Dashboard'!D4="All","&lt;&gt;",'Main Dashboard'!D4),'Restaurant Data'!C:C,IF('Main Dashboard'!N4="All","&lt;&gt;",'Main Dashboard'!N4),'Restaurant Data'!D:D,IF('Main Dashboard'!I4="All","&lt;&gt;",'Main Dashboard'!I4))</f>
        <v>769515.8592</v>
      </c>
    </row>
    <row r="5" spans="1:18">
      <c r="A5">
        <v>10455</v>
      </c>
      <c r="B5" s="14">
        <v>44873</v>
      </c>
      <c r="C5" s="14" t="str">
        <f>TEXT(Table1[[#This Row],[Date]],"mmmm")</f>
        <v>November</v>
      </c>
      <c r="D5" t="s">
        <v>20</v>
      </c>
      <c r="E5" s="15">
        <v>12.99</v>
      </c>
      <c r="F5" s="16">
        <v>569.67</v>
      </c>
      <c r="G5" t="s">
        <v>55</v>
      </c>
      <c r="H5" t="s">
        <v>33</v>
      </c>
      <c r="I5" t="s">
        <v>56</v>
      </c>
      <c r="J5" t="s">
        <v>9</v>
      </c>
      <c r="K5" s="17">
        <f t="shared" si="0"/>
        <v>7400.0133</v>
      </c>
      <c r="L5" t="str">
        <f t="shared" si="1"/>
        <v>Wednesday</v>
      </c>
      <c r="N5" t="s">
        <v>107</v>
      </c>
      <c r="P5" s="18">
        <f>SUMIFS('Restaurant Data'!F:F,'Restaurant Data'!J:J,IF('Main Dashboard'!D4="All","&lt;&gt;",'Main Dashboard'!D4),'Restaurant Data'!C:C,IF('Main Dashboard'!N4="All","&lt;&gt;",'Main Dashboard'!N4),'Restaurant Data'!D:D,IF('Main Dashboard'!I4="All","&lt;&gt;",'Main Dashboard'!I4))</f>
        <v>116995.31</v>
      </c>
      <c r="R5" t="s">
        <v>108</v>
      </c>
    </row>
    <row r="6" spans="1:16">
      <c r="A6">
        <v>10456</v>
      </c>
      <c r="B6" s="14">
        <v>44873</v>
      </c>
      <c r="C6" s="14" t="str">
        <f>TEXT(Table1[[#This Row],[Date]],"mmmm")</f>
        <v>November</v>
      </c>
      <c r="D6" t="s">
        <v>13</v>
      </c>
      <c r="E6" s="15">
        <v>9.95</v>
      </c>
      <c r="F6" s="16">
        <v>201.01</v>
      </c>
      <c r="G6" t="s">
        <v>55</v>
      </c>
      <c r="H6" t="s">
        <v>33</v>
      </c>
      <c r="I6" t="s">
        <v>56</v>
      </c>
      <c r="J6" t="s">
        <v>9</v>
      </c>
      <c r="K6" s="17">
        <f t="shared" si="0"/>
        <v>2000.0495</v>
      </c>
      <c r="L6" t="str">
        <f t="shared" si="1"/>
        <v>Thursday</v>
      </c>
      <c r="P6" s="17">
        <f>IFERROR(AVERAGEIFS('Restaurant Data'!K:K,'Restaurant Data'!J:J,IF('Main Dashboard'!D4="All","&lt;&gt;",'Main Dashboard'!D4),'Restaurant Data'!C:C,IF('Main Dashboard'!N4="All","&lt;&gt;",'Main Dashboard'!N4),'Restaurant Data'!D:D,IF('Main Dashboard'!I4="All","&lt;&gt;",'Main Dashboard'!I4)),"")</f>
        <v>3029.58999685039</v>
      </c>
    </row>
    <row r="7" spans="1:14">
      <c r="A7">
        <v>10457</v>
      </c>
      <c r="B7" s="14">
        <v>44873</v>
      </c>
      <c r="C7" s="14" t="str">
        <f>TEXT(Table1[[#This Row],[Date]],"mmmm")</f>
        <v>November</v>
      </c>
      <c r="D7" t="s">
        <v>17</v>
      </c>
      <c r="E7" s="15">
        <v>3.49</v>
      </c>
      <c r="F7" s="16">
        <v>573.07</v>
      </c>
      <c r="G7" t="s">
        <v>55</v>
      </c>
      <c r="H7" t="s">
        <v>33</v>
      </c>
      <c r="I7" t="s">
        <v>50</v>
      </c>
      <c r="J7" t="s">
        <v>6</v>
      </c>
      <c r="K7" s="17">
        <f t="shared" si="0"/>
        <v>2000.0143</v>
      </c>
      <c r="L7" t="str">
        <f t="shared" si="1"/>
        <v>Friday</v>
      </c>
      <c r="N7" s="16">
        <f>SUM(F:F)</f>
        <v>116995.31</v>
      </c>
    </row>
    <row r="8" spans="1:14">
      <c r="A8">
        <v>10459</v>
      </c>
      <c r="B8" s="14">
        <v>44873</v>
      </c>
      <c r="C8" s="14" t="str">
        <f>TEXT(Table1[[#This Row],[Date]],"mmmm")</f>
        <v>November</v>
      </c>
      <c r="D8" t="s">
        <v>7</v>
      </c>
      <c r="E8" s="15">
        <v>4.99</v>
      </c>
      <c r="F8" s="16">
        <v>200.4</v>
      </c>
      <c r="G8" t="s">
        <v>55</v>
      </c>
      <c r="H8" t="s">
        <v>33</v>
      </c>
      <c r="I8" t="s">
        <v>56</v>
      </c>
      <c r="J8" t="s">
        <v>9</v>
      </c>
      <c r="K8" s="17">
        <f t="shared" si="0"/>
        <v>999.996</v>
      </c>
      <c r="L8" t="str">
        <f t="shared" si="1"/>
        <v>Sunday</v>
      </c>
      <c r="N8" s="17">
        <f>AVERAGE(K:K)</f>
        <v>3029.58999685039</v>
      </c>
    </row>
    <row r="9" spans="1:12">
      <c r="A9">
        <v>10460</v>
      </c>
      <c r="B9" s="14">
        <v>44874</v>
      </c>
      <c r="C9" s="14" t="str">
        <f>TEXT(Table1[[#This Row],[Date]],"mmmm")</f>
        <v>November</v>
      </c>
      <c r="D9" t="s">
        <v>20</v>
      </c>
      <c r="E9" s="15">
        <v>12.99</v>
      </c>
      <c r="F9" s="16">
        <v>554.27</v>
      </c>
      <c r="G9" t="s">
        <v>55</v>
      </c>
      <c r="H9" t="s">
        <v>33</v>
      </c>
      <c r="I9" t="s">
        <v>50</v>
      </c>
      <c r="J9" t="s">
        <v>6</v>
      </c>
      <c r="K9" s="17">
        <f t="shared" si="0"/>
        <v>7199.9673</v>
      </c>
      <c r="L9" t="str">
        <f t="shared" si="1"/>
        <v>Monday</v>
      </c>
    </row>
    <row r="10" spans="1:14">
      <c r="A10">
        <v>10461</v>
      </c>
      <c r="B10" s="14">
        <v>44874</v>
      </c>
      <c r="C10" s="14" t="str">
        <f>TEXT(Table1[[#This Row],[Date]],"mmmm")</f>
        <v>November</v>
      </c>
      <c r="D10" t="s">
        <v>13</v>
      </c>
      <c r="E10" s="15">
        <v>9.95</v>
      </c>
      <c r="F10" s="16">
        <v>201.01</v>
      </c>
      <c r="G10" t="s">
        <v>55</v>
      </c>
      <c r="H10" t="s">
        <v>33</v>
      </c>
      <c r="I10" t="s">
        <v>50</v>
      </c>
      <c r="J10" t="s">
        <v>6</v>
      </c>
      <c r="K10" s="17">
        <f t="shared" si="0"/>
        <v>2000.0495</v>
      </c>
      <c r="L10" t="str">
        <f t="shared" si="1"/>
        <v>Tuesday</v>
      </c>
      <c r="N10" s="17"/>
    </row>
    <row r="11" spans="1:12">
      <c r="A11">
        <v>10462</v>
      </c>
      <c r="B11" s="14">
        <v>44874</v>
      </c>
      <c r="C11" s="14" t="str">
        <f>TEXT(Table1[[#This Row],[Date]],"mmmm")</f>
        <v>November</v>
      </c>
      <c r="D11" t="s">
        <v>17</v>
      </c>
      <c r="E11" s="15">
        <v>3.49</v>
      </c>
      <c r="F11" s="16">
        <v>573.07</v>
      </c>
      <c r="G11" t="s">
        <v>55</v>
      </c>
      <c r="H11" t="s">
        <v>33</v>
      </c>
      <c r="I11" t="s">
        <v>50</v>
      </c>
      <c r="J11" t="s">
        <v>6</v>
      </c>
      <c r="K11" s="17">
        <f t="shared" si="0"/>
        <v>2000.0143</v>
      </c>
      <c r="L11" t="str">
        <f t="shared" si="1"/>
        <v>Wednesday</v>
      </c>
    </row>
    <row r="12" spans="1:12">
      <c r="A12">
        <v>10463</v>
      </c>
      <c r="B12" s="14">
        <v>44874</v>
      </c>
      <c r="C12" s="14" t="str">
        <f>TEXT(Table1[[#This Row],[Date]],"mmmm")</f>
        <v>November</v>
      </c>
      <c r="D12" t="s">
        <v>10</v>
      </c>
      <c r="E12" s="15">
        <v>2.95</v>
      </c>
      <c r="F12" s="16">
        <v>677.97</v>
      </c>
      <c r="G12" t="s">
        <v>55</v>
      </c>
      <c r="H12" t="s">
        <v>33</v>
      </c>
      <c r="I12" t="s">
        <v>50</v>
      </c>
      <c r="J12" t="s">
        <v>6</v>
      </c>
      <c r="K12" s="17">
        <f t="shared" si="0"/>
        <v>2000.0115</v>
      </c>
      <c r="L12" t="str">
        <f t="shared" si="1"/>
        <v>Thursday</v>
      </c>
    </row>
    <row r="13" spans="1:12">
      <c r="A13">
        <v>10464</v>
      </c>
      <c r="B13" s="14">
        <v>44874</v>
      </c>
      <c r="C13" s="14" t="str">
        <f>TEXT(Table1[[#This Row],[Date]],"mmmm")</f>
        <v>November</v>
      </c>
      <c r="D13" t="s">
        <v>7</v>
      </c>
      <c r="E13" s="15">
        <v>4.99</v>
      </c>
      <c r="F13" s="16">
        <v>200.4</v>
      </c>
      <c r="G13" t="s">
        <v>55</v>
      </c>
      <c r="H13" t="s">
        <v>33</v>
      </c>
      <c r="I13" t="s">
        <v>50</v>
      </c>
      <c r="J13" t="s">
        <v>6</v>
      </c>
      <c r="K13" s="17">
        <f t="shared" si="0"/>
        <v>999.996</v>
      </c>
      <c r="L13" t="str">
        <f t="shared" si="1"/>
        <v>Friday</v>
      </c>
    </row>
    <row r="14" spans="1:12">
      <c r="A14">
        <v>10465</v>
      </c>
      <c r="B14" s="14">
        <v>44875</v>
      </c>
      <c r="C14" s="14" t="str">
        <f>TEXT(Table1[[#This Row],[Date]],"mmmm")</f>
        <v>November</v>
      </c>
      <c r="D14" t="s">
        <v>20</v>
      </c>
      <c r="E14" s="15">
        <v>12.99</v>
      </c>
      <c r="F14" s="16">
        <v>554.27</v>
      </c>
      <c r="G14" t="s">
        <v>55</v>
      </c>
      <c r="H14" t="s">
        <v>33</v>
      </c>
      <c r="I14" t="s">
        <v>48</v>
      </c>
      <c r="J14" t="s">
        <v>12</v>
      </c>
      <c r="K14" s="17">
        <f t="shared" si="0"/>
        <v>7199.9673</v>
      </c>
      <c r="L14" t="str">
        <f t="shared" si="1"/>
        <v>Saturday</v>
      </c>
    </row>
    <row r="15" spans="1:12">
      <c r="A15">
        <v>10466</v>
      </c>
      <c r="B15" s="14">
        <v>44875</v>
      </c>
      <c r="C15" s="14" t="str">
        <f>TEXT(Table1[[#This Row],[Date]],"mmmm")</f>
        <v>November</v>
      </c>
      <c r="D15" t="s">
        <v>13</v>
      </c>
      <c r="E15" s="15">
        <v>9.95</v>
      </c>
      <c r="F15" s="16">
        <v>201.01</v>
      </c>
      <c r="G15" t="s">
        <v>55</v>
      </c>
      <c r="H15" t="s">
        <v>33</v>
      </c>
      <c r="I15" t="s">
        <v>48</v>
      </c>
      <c r="J15" t="s">
        <v>12</v>
      </c>
      <c r="K15" s="17">
        <f t="shared" si="0"/>
        <v>2000.0495</v>
      </c>
      <c r="L15" t="str">
        <f t="shared" si="1"/>
        <v>Sunday</v>
      </c>
    </row>
    <row r="16" spans="1:12">
      <c r="A16">
        <v>10467</v>
      </c>
      <c r="B16" s="14">
        <v>44875</v>
      </c>
      <c r="C16" s="14" t="str">
        <f>TEXT(Table1[[#This Row],[Date]],"mmmm")</f>
        <v>November</v>
      </c>
      <c r="D16" t="s">
        <v>17</v>
      </c>
      <c r="E16" s="15">
        <v>3.49</v>
      </c>
      <c r="F16" s="16">
        <v>573.07</v>
      </c>
      <c r="G16" t="s">
        <v>55</v>
      </c>
      <c r="H16" t="s">
        <v>33</v>
      </c>
      <c r="I16" t="s">
        <v>48</v>
      </c>
      <c r="J16" t="s">
        <v>12</v>
      </c>
      <c r="K16" s="17">
        <f t="shared" si="0"/>
        <v>2000.0143</v>
      </c>
      <c r="L16" t="str">
        <f t="shared" si="1"/>
        <v>Monday</v>
      </c>
    </row>
    <row r="17" spans="1:12">
      <c r="A17">
        <v>10468</v>
      </c>
      <c r="B17" s="14">
        <v>44875</v>
      </c>
      <c r="C17" s="14" t="str">
        <f>TEXT(Table1[[#This Row],[Date]],"mmmm")</f>
        <v>November</v>
      </c>
      <c r="D17" t="s">
        <v>10</v>
      </c>
      <c r="E17" s="15">
        <v>2.95</v>
      </c>
      <c r="F17" s="16">
        <v>677.97</v>
      </c>
      <c r="G17" t="s">
        <v>55</v>
      </c>
      <c r="H17" t="s">
        <v>33</v>
      </c>
      <c r="I17" t="s">
        <v>48</v>
      </c>
      <c r="J17" t="s">
        <v>12</v>
      </c>
      <c r="K17" s="17">
        <f t="shared" si="0"/>
        <v>2000.0115</v>
      </c>
      <c r="L17" t="str">
        <f t="shared" si="1"/>
        <v>Tuesday</v>
      </c>
    </row>
    <row r="18" spans="1:12">
      <c r="A18">
        <v>10470</v>
      </c>
      <c r="B18" s="14">
        <v>44876</v>
      </c>
      <c r="C18" s="14" t="str">
        <f>TEXT(Table1[[#This Row],[Date]],"mmmm")</f>
        <v>November</v>
      </c>
      <c r="D18" t="s">
        <v>20</v>
      </c>
      <c r="E18" s="15">
        <v>12.99</v>
      </c>
      <c r="F18" s="16">
        <v>554.27</v>
      </c>
      <c r="G18" t="s">
        <v>55</v>
      </c>
      <c r="H18" t="s">
        <v>33</v>
      </c>
      <c r="I18" t="s">
        <v>48</v>
      </c>
      <c r="J18" t="s">
        <v>12</v>
      </c>
      <c r="K18" s="17">
        <f t="shared" si="0"/>
        <v>7199.9673</v>
      </c>
      <c r="L18" t="str">
        <f t="shared" si="1"/>
        <v>Thursday</v>
      </c>
    </row>
    <row r="19" spans="1:12">
      <c r="A19">
        <v>10471</v>
      </c>
      <c r="B19" s="14">
        <v>44876</v>
      </c>
      <c r="C19" s="14" t="str">
        <f>TEXT(Table1[[#This Row],[Date]],"mmmm")</f>
        <v>November</v>
      </c>
      <c r="D19" t="s">
        <v>13</v>
      </c>
      <c r="E19" s="15">
        <v>9.95</v>
      </c>
      <c r="F19" s="16">
        <v>201.01</v>
      </c>
      <c r="G19" t="s">
        <v>55</v>
      </c>
      <c r="H19" t="s">
        <v>33</v>
      </c>
      <c r="I19" t="s">
        <v>48</v>
      </c>
      <c r="J19" t="s">
        <v>12</v>
      </c>
      <c r="K19" s="17">
        <f t="shared" si="0"/>
        <v>2000.0495</v>
      </c>
      <c r="L19" t="str">
        <f t="shared" si="1"/>
        <v>Friday</v>
      </c>
    </row>
    <row r="20" spans="1:12">
      <c r="A20">
        <v>10472</v>
      </c>
      <c r="B20" s="14">
        <v>44876</v>
      </c>
      <c r="C20" s="14" t="str">
        <f>TEXT(Table1[[#This Row],[Date]],"mmmm")</f>
        <v>November</v>
      </c>
      <c r="D20" t="s">
        <v>17</v>
      </c>
      <c r="E20" s="15">
        <v>3.49</v>
      </c>
      <c r="F20" s="16">
        <v>630.37</v>
      </c>
      <c r="G20" t="s">
        <v>55</v>
      </c>
      <c r="H20" t="s">
        <v>33</v>
      </c>
      <c r="I20" t="s">
        <v>48</v>
      </c>
      <c r="J20" t="s">
        <v>12</v>
      </c>
      <c r="K20" s="17">
        <f t="shared" si="0"/>
        <v>2199.9913</v>
      </c>
      <c r="L20" t="str">
        <f t="shared" si="1"/>
        <v>Saturday</v>
      </c>
    </row>
    <row r="21" spans="1:12">
      <c r="A21">
        <v>10473</v>
      </c>
      <c r="B21" s="14">
        <v>44876</v>
      </c>
      <c r="C21" s="14" t="str">
        <f>TEXT(Table1[[#This Row],[Date]],"mmmm")</f>
        <v>November</v>
      </c>
      <c r="D21" t="s">
        <v>10</v>
      </c>
      <c r="E21" s="15">
        <v>2.95</v>
      </c>
      <c r="F21" s="16">
        <v>677.97</v>
      </c>
      <c r="G21" t="s">
        <v>55</v>
      </c>
      <c r="H21" t="s">
        <v>33</v>
      </c>
      <c r="I21" t="s">
        <v>48</v>
      </c>
      <c r="J21" t="s">
        <v>12</v>
      </c>
      <c r="K21" s="17">
        <f t="shared" si="0"/>
        <v>2000.0115</v>
      </c>
      <c r="L21" t="str">
        <f t="shared" si="1"/>
        <v>Sunday</v>
      </c>
    </row>
    <row r="22" spans="1:12">
      <c r="A22">
        <v>10474</v>
      </c>
      <c r="B22" s="14">
        <v>44876</v>
      </c>
      <c r="C22" s="14" t="str">
        <f>TEXT(Table1[[#This Row],[Date]],"mmmm")</f>
        <v>November</v>
      </c>
      <c r="D22" t="s">
        <v>7</v>
      </c>
      <c r="E22" s="15">
        <v>4.99</v>
      </c>
      <c r="F22" s="16">
        <v>200.4</v>
      </c>
      <c r="G22" t="s">
        <v>55</v>
      </c>
      <c r="H22" t="s">
        <v>33</v>
      </c>
      <c r="I22" t="s">
        <v>48</v>
      </c>
      <c r="J22" t="s">
        <v>12</v>
      </c>
      <c r="K22" s="17">
        <f t="shared" si="0"/>
        <v>999.996</v>
      </c>
      <c r="L22" t="str">
        <f t="shared" si="1"/>
        <v>Monday</v>
      </c>
    </row>
    <row r="23" spans="1:12">
      <c r="A23">
        <v>10475</v>
      </c>
      <c r="B23" s="14">
        <v>44877</v>
      </c>
      <c r="C23" s="14" t="str">
        <f>TEXT(Table1[[#This Row],[Date]],"mmmm")</f>
        <v>November</v>
      </c>
      <c r="D23" t="s">
        <v>20</v>
      </c>
      <c r="E23" s="15">
        <v>12.99</v>
      </c>
      <c r="F23" s="16">
        <v>523.48</v>
      </c>
      <c r="G23" t="s">
        <v>55</v>
      </c>
      <c r="H23" t="s">
        <v>33</v>
      </c>
      <c r="I23" t="s">
        <v>48</v>
      </c>
      <c r="J23" t="s">
        <v>12</v>
      </c>
      <c r="K23" s="17">
        <f t="shared" si="0"/>
        <v>6800.0052</v>
      </c>
      <c r="L23" t="str">
        <f t="shared" si="1"/>
        <v>Tuesday</v>
      </c>
    </row>
    <row r="24" spans="1:12">
      <c r="A24">
        <v>10476</v>
      </c>
      <c r="B24" s="14">
        <v>44877</v>
      </c>
      <c r="C24" s="14" t="str">
        <f>TEXT(Table1[[#This Row],[Date]],"mmmm")</f>
        <v>November</v>
      </c>
      <c r="D24" t="s">
        <v>13</v>
      </c>
      <c r="E24" s="15">
        <v>9.95</v>
      </c>
      <c r="F24" s="16">
        <v>201.01</v>
      </c>
      <c r="G24" t="s">
        <v>55</v>
      </c>
      <c r="H24" t="s">
        <v>33</v>
      </c>
      <c r="I24" t="s">
        <v>48</v>
      </c>
      <c r="J24" t="s">
        <v>12</v>
      </c>
      <c r="K24" s="17">
        <f t="shared" si="0"/>
        <v>2000.0495</v>
      </c>
      <c r="L24" t="str">
        <f t="shared" si="1"/>
        <v>Wednesday</v>
      </c>
    </row>
    <row r="25" spans="1:12">
      <c r="A25">
        <v>10477</v>
      </c>
      <c r="B25" s="14">
        <v>44877</v>
      </c>
      <c r="C25" s="14" t="str">
        <f>TEXT(Table1[[#This Row],[Date]],"mmmm")</f>
        <v>November</v>
      </c>
      <c r="D25" t="s">
        <v>17</v>
      </c>
      <c r="E25" s="15">
        <v>3.49</v>
      </c>
      <c r="F25" s="16">
        <v>630.37</v>
      </c>
      <c r="G25" t="s">
        <v>55</v>
      </c>
      <c r="H25" t="s">
        <v>33</v>
      </c>
      <c r="I25" t="s">
        <v>48</v>
      </c>
      <c r="J25" t="s">
        <v>12</v>
      </c>
      <c r="K25" s="17">
        <f t="shared" si="0"/>
        <v>2199.9913</v>
      </c>
      <c r="L25" t="str">
        <f t="shared" si="1"/>
        <v>Thursday</v>
      </c>
    </row>
    <row r="26" spans="1:12">
      <c r="A26">
        <v>10478</v>
      </c>
      <c r="B26" s="14">
        <v>44877</v>
      </c>
      <c r="C26" s="14" t="str">
        <f>TEXT(Table1[[#This Row],[Date]],"mmmm")</f>
        <v>November</v>
      </c>
      <c r="D26" t="s">
        <v>10</v>
      </c>
      <c r="E26" s="15">
        <v>2.95</v>
      </c>
      <c r="F26" s="16">
        <v>677.97</v>
      </c>
      <c r="G26" t="s">
        <v>55</v>
      </c>
      <c r="H26" t="s">
        <v>33</v>
      </c>
      <c r="I26" t="s">
        <v>48</v>
      </c>
      <c r="J26" t="s">
        <v>12</v>
      </c>
      <c r="K26" s="17">
        <f t="shared" si="0"/>
        <v>2000.0115</v>
      </c>
      <c r="L26" t="str">
        <f t="shared" si="1"/>
        <v>Friday</v>
      </c>
    </row>
    <row r="27" spans="1:12">
      <c r="A27">
        <v>10479</v>
      </c>
      <c r="B27" s="14">
        <v>44877</v>
      </c>
      <c r="C27" s="14" t="str">
        <f>TEXT(Table1[[#This Row],[Date]],"mmmm")</f>
        <v>November</v>
      </c>
      <c r="D27" t="s">
        <v>7</v>
      </c>
      <c r="E27" s="15">
        <v>4.99</v>
      </c>
      <c r="F27" s="16">
        <v>200.4</v>
      </c>
      <c r="G27" t="s">
        <v>55</v>
      </c>
      <c r="H27" t="s">
        <v>33</v>
      </c>
      <c r="I27" t="s">
        <v>48</v>
      </c>
      <c r="J27" t="s">
        <v>12</v>
      </c>
      <c r="K27" s="17">
        <f t="shared" si="0"/>
        <v>999.996</v>
      </c>
      <c r="L27" t="str">
        <f t="shared" si="1"/>
        <v>Saturday</v>
      </c>
    </row>
    <row r="28" spans="1:12">
      <c r="A28">
        <v>10480</v>
      </c>
      <c r="B28" s="14">
        <v>44878</v>
      </c>
      <c r="C28" s="14" t="str">
        <f>TEXT(Table1[[#This Row],[Date]],"mmmm")</f>
        <v>November</v>
      </c>
      <c r="D28" t="s">
        <v>20</v>
      </c>
      <c r="E28" s="15">
        <v>12.99</v>
      </c>
      <c r="F28" s="16">
        <v>508.08</v>
      </c>
      <c r="G28" t="s">
        <v>55</v>
      </c>
      <c r="H28" t="s">
        <v>33</v>
      </c>
      <c r="I28" t="s">
        <v>48</v>
      </c>
      <c r="J28" t="s">
        <v>12</v>
      </c>
      <c r="K28" s="17">
        <f t="shared" si="0"/>
        <v>6599.9592</v>
      </c>
      <c r="L28" t="str">
        <f t="shared" si="1"/>
        <v>Sunday</v>
      </c>
    </row>
    <row r="29" spans="1:12">
      <c r="A29">
        <v>10481</v>
      </c>
      <c r="B29" s="14">
        <v>44878</v>
      </c>
      <c r="C29" s="14" t="str">
        <f>TEXT(Table1[[#This Row],[Date]],"mmmm")</f>
        <v>November</v>
      </c>
      <c r="D29" t="s">
        <v>13</v>
      </c>
      <c r="E29" s="15">
        <v>9.95</v>
      </c>
      <c r="F29" s="16">
        <v>201.01</v>
      </c>
      <c r="G29" t="s">
        <v>55</v>
      </c>
      <c r="H29" t="s">
        <v>33</v>
      </c>
      <c r="I29" t="s">
        <v>48</v>
      </c>
      <c r="J29" t="s">
        <v>12</v>
      </c>
      <c r="K29" s="17">
        <f t="shared" si="0"/>
        <v>2000.0495</v>
      </c>
      <c r="L29" t="str">
        <f t="shared" si="1"/>
        <v>Monday</v>
      </c>
    </row>
    <row r="30" spans="1:12">
      <c r="A30">
        <v>10482</v>
      </c>
      <c r="B30" s="14">
        <v>44878</v>
      </c>
      <c r="C30" s="14" t="str">
        <f>TEXT(Table1[[#This Row],[Date]],"mmmm")</f>
        <v>November</v>
      </c>
      <c r="D30" t="s">
        <v>17</v>
      </c>
      <c r="E30" s="15">
        <v>25.5</v>
      </c>
      <c r="F30" s="16">
        <v>630.37</v>
      </c>
      <c r="G30" t="s">
        <v>55</v>
      </c>
      <c r="H30" t="s">
        <v>33</v>
      </c>
      <c r="I30" t="s">
        <v>46</v>
      </c>
      <c r="J30" t="s">
        <v>19</v>
      </c>
      <c r="K30" s="17">
        <f t="shared" si="0"/>
        <v>16074.435</v>
      </c>
      <c r="L30" t="str">
        <f t="shared" si="1"/>
        <v>Tuesday</v>
      </c>
    </row>
    <row r="31" spans="1:12">
      <c r="A31">
        <v>10486</v>
      </c>
      <c r="B31" s="14">
        <v>44879</v>
      </c>
      <c r="C31" s="14" t="str">
        <f>TEXT(Table1[[#This Row],[Date]],"mmmm")</f>
        <v>November</v>
      </c>
      <c r="D31" t="s">
        <v>13</v>
      </c>
      <c r="E31" s="15">
        <v>29.05</v>
      </c>
      <c r="F31" s="16">
        <v>201.01</v>
      </c>
      <c r="G31" t="s">
        <v>55</v>
      </c>
      <c r="H31" t="s">
        <v>33</v>
      </c>
      <c r="I31" t="s">
        <v>46</v>
      </c>
      <c r="J31" t="s">
        <v>19</v>
      </c>
      <c r="K31" s="17">
        <f t="shared" si="0"/>
        <v>5839.3405</v>
      </c>
      <c r="L31" t="str">
        <f t="shared" si="1"/>
        <v>Saturday</v>
      </c>
    </row>
    <row r="32" spans="1:12">
      <c r="A32">
        <v>10487</v>
      </c>
      <c r="B32" s="14">
        <v>44879</v>
      </c>
      <c r="C32" s="14" t="str">
        <f>TEXT(Table1[[#This Row],[Date]],"mmmm")</f>
        <v>November</v>
      </c>
      <c r="D32" t="s">
        <v>17</v>
      </c>
      <c r="E32" s="15">
        <v>3.49</v>
      </c>
      <c r="F32" s="16">
        <v>630.37</v>
      </c>
      <c r="G32" t="s">
        <v>55</v>
      </c>
      <c r="H32" t="s">
        <v>33</v>
      </c>
      <c r="I32" t="s">
        <v>46</v>
      </c>
      <c r="J32" t="s">
        <v>19</v>
      </c>
      <c r="K32" s="17">
        <f t="shared" si="0"/>
        <v>2199.9913</v>
      </c>
      <c r="L32" t="str">
        <f t="shared" si="1"/>
        <v>Sunday</v>
      </c>
    </row>
    <row r="33" spans="1:12">
      <c r="A33">
        <v>10488</v>
      </c>
      <c r="B33" s="14">
        <v>44879</v>
      </c>
      <c r="C33" s="14" t="str">
        <f>TEXT(Table1[[#This Row],[Date]],"mmmm")</f>
        <v>November</v>
      </c>
      <c r="D33" t="s">
        <v>10</v>
      </c>
      <c r="E33" s="15">
        <v>2.95</v>
      </c>
      <c r="F33" s="16">
        <v>677.97</v>
      </c>
      <c r="G33" t="s">
        <v>55</v>
      </c>
      <c r="H33" t="s">
        <v>33</v>
      </c>
      <c r="I33" t="s">
        <v>46</v>
      </c>
      <c r="J33" t="s">
        <v>19</v>
      </c>
      <c r="K33" s="17">
        <f t="shared" si="0"/>
        <v>2000.0115</v>
      </c>
      <c r="L33" t="str">
        <f t="shared" si="1"/>
        <v>Monday</v>
      </c>
    </row>
    <row r="34" spans="1:12">
      <c r="A34">
        <v>10489</v>
      </c>
      <c r="B34" s="14">
        <v>44879</v>
      </c>
      <c r="C34" s="14" t="str">
        <f>TEXT(Table1[[#This Row],[Date]],"mmmm")</f>
        <v>November</v>
      </c>
      <c r="D34" t="s">
        <v>7</v>
      </c>
      <c r="E34" s="15">
        <v>4.99</v>
      </c>
      <c r="F34" s="16">
        <v>200.4</v>
      </c>
      <c r="G34" t="s">
        <v>55</v>
      </c>
      <c r="H34" t="s">
        <v>33</v>
      </c>
      <c r="I34" t="s">
        <v>48</v>
      </c>
      <c r="J34" t="s">
        <v>12</v>
      </c>
      <c r="K34" s="17">
        <f t="shared" si="0"/>
        <v>999.996</v>
      </c>
      <c r="L34" t="str">
        <f t="shared" si="1"/>
        <v>Tuesday</v>
      </c>
    </row>
    <row r="35" spans="1:12">
      <c r="A35">
        <v>10490</v>
      </c>
      <c r="B35" s="14">
        <v>44880</v>
      </c>
      <c r="C35" s="14" t="str">
        <f>TEXT(Table1[[#This Row],[Date]],"mmmm")</f>
        <v>November</v>
      </c>
      <c r="D35" t="s">
        <v>20</v>
      </c>
      <c r="E35" s="15">
        <v>12.99</v>
      </c>
      <c r="F35" s="16">
        <v>508.08</v>
      </c>
      <c r="G35" t="s">
        <v>55</v>
      </c>
      <c r="H35" t="s">
        <v>33</v>
      </c>
      <c r="I35" t="s">
        <v>48</v>
      </c>
      <c r="J35" t="s">
        <v>12</v>
      </c>
      <c r="K35" s="17">
        <f t="shared" si="0"/>
        <v>6599.9592</v>
      </c>
      <c r="L35" t="str">
        <f t="shared" si="1"/>
        <v>Wednesday</v>
      </c>
    </row>
    <row r="36" spans="1:12">
      <c r="A36">
        <v>10491</v>
      </c>
      <c r="B36" s="14">
        <v>44880</v>
      </c>
      <c r="C36" s="14" t="str">
        <f>TEXT(Table1[[#This Row],[Date]],"mmmm")</f>
        <v>November</v>
      </c>
      <c r="D36" t="s">
        <v>13</v>
      </c>
      <c r="E36" s="15">
        <v>9.95</v>
      </c>
      <c r="F36" s="16">
        <v>201.01</v>
      </c>
      <c r="G36" t="s">
        <v>55</v>
      </c>
      <c r="H36" t="s">
        <v>33</v>
      </c>
      <c r="I36" t="s">
        <v>48</v>
      </c>
      <c r="J36" t="s">
        <v>12</v>
      </c>
      <c r="K36" s="17">
        <f t="shared" si="0"/>
        <v>2000.0495</v>
      </c>
      <c r="L36" t="str">
        <f t="shared" si="1"/>
        <v>Thursday</v>
      </c>
    </row>
    <row r="37" spans="1:12">
      <c r="A37">
        <v>10492</v>
      </c>
      <c r="B37" s="14">
        <v>44880</v>
      </c>
      <c r="C37" s="14" t="str">
        <f>TEXT(Table1[[#This Row],[Date]],"mmmm")</f>
        <v>November</v>
      </c>
      <c r="D37" t="s">
        <v>17</v>
      </c>
      <c r="E37" s="15">
        <v>3.49</v>
      </c>
      <c r="F37" s="16">
        <v>573.07</v>
      </c>
      <c r="G37" t="s">
        <v>55</v>
      </c>
      <c r="H37" t="s">
        <v>33</v>
      </c>
      <c r="I37" t="s">
        <v>48</v>
      </c>
      <c r="J37" t="s">
        <v>12</v>
      </c>
      <c r="K37" s="17">
        <f t="shared" si="0"/>
        <v>2000.0143</v>
      </c>
      <c r="L37" t="str">
        <f t="shared" si="1"/>
        <v>Friday</v>
      </c>
    </row>
    <row r="38" spans="1:12">
      <c r="A38">
        <v>10493</v>
      </c>
      <c r="B38" s="14">
        <v>44880</v>
      </c>
      <c r="C38" s="14" t="str">
        <f>TEXT(Table1[[#This Row],[Date]],"mmmm")</f>
        <v>November</v>
      </c>
      <c r="D38" t="s">
        <v>10</v>
      </c>
      <c r="E38" s="15">
        <v>2.95</v>
      </c>
      <c r="F38" s="16">
        <v>677.97</v>
      </c>
      <c r="G38" t="s">
        <v>55</v>
      </c>
      <c r="H38" t="s">
        <v>33</v>
      </c>
      <c r="I38" t="s">
        <v>48</v>
      </c>
      <c r="J38" t="s">
        <v>12</v>
      </c>
      <c r="K38" s="17">
        <f t="shared" si="0"/>
        <v>2000.0115</v>
      </c>
      <c r="L38" t="str">
        <f t="shared" si="1"/>
        <v>Saturday</v>
      </c>
    </row>
    <row r="39" spans="1:12">
      <c r="A39">
        <v>10494</v>
      </c>
      <c r="B39" s="14">
        <v>44880</v>
      </c>
      <c r="C39" s="14" t="str">
        <f>TEXT(Table1[[#This Row],[Date]],"mmmm")</f>
        <v>November</v>
      </c>
      <c r="D39" t="s">
        <v>7</v>
      </c>
      <c r="E39" s="15">
        <v>4.99</v>
      </c>
      <c r="F39" s="16">
        <v>200.4</v>
      </c>
      <c r="G39" t="s">
        <v>55</v>
      </c>
      <c r="H39" t="s">
        <v>33</v>
      </c>
      <c r="I39" t="s">
        <v>48</v>
      </c>
      <c r="J39" t="s">
        <v>12</v>
      </c>
      <c r="K39" s="17">
        <f t="shared" si="0"/>
        <v>999.996</v>
      </c>
      <c r="L39" t="str">
        <f t="shared" si="1"/>
        <v>Sunday</v>
      </c>
    </row>
    <row r="40" spans="1:12">
      <c r="A40">
        <v>10495</v>
      </c>
      <c r="B40" s="14">
        <v>44881</v>
      </c>
      <c r="C40" s="14" t="str">
        <f>TEXT(Table1[[#This Row],[Date]],"mmmm")</f>
        <v>November</v>
      </c>
      <c r="D40" t="s">
        <v>20</v>
      </c>
      <c r="E40" s="15">
        <v>12.99</v>
      </c>
      <c r="F40" s="16">
        <v>508.08</v>
      </c>
      <c r="G40" t="s">
        <v>55</v>
      </c>
      <c r="H40" t="s">
        <v>33</v>
      </c>
      <c r="I40" t="s">
        <v>48</v>
      </c>
      <c r="J40" t="s">
        <v>12</v>
      </c>
      <c r="K40" s="17">
        <f t="shared" si="0"/>
        <v>6599.9592</v>
      </c>
      <c r="L40" t="str">
        <f t="shared" si="1"/>
        <v>Monday</v>
      </c>
    </row>
    <row r="41" spans="1:12">
      <c r="A41">
        <v>10496</v>
      </c>
      <c r="B41" s="14">
        <v>44881</v>
      </c>
      <c r="C41" s="14" t="str">
        <f>TEXT(Table1[[#This Row],[Date]],"mmmm")</f>
        <v>November</v>
      </c>
      <c r="D41" t="s">
        <v>13</v>
      </c>
      <c r="E41" s="15">
        <v>9.95</v>
      </c>
      <c r="F41" s="16">
        <v>201.01</v>
      </c>
      <c r="G41" t="s">
        <v>55</v>
      </c>
      <c r="H41" t="s">
        <v>33</v>
      </c>
      <c r="I41" t="s">
        <v>48</v>
      </c>
      <c r="J41" t="s">
        <v>12</v>
      </c>
      <c r="K41" s="17">
        <f t="shared" si="0"/>
        <v>2000.0495</v>
      </c>
      <c r="L41" t="str">
        <f t="shared" si="1"/>
        <v>Tuesday</v>
      </c>
    </row>
    <row r="42" spans="1:12">
      <c r="A42">
        <v>10497</v>
      </c>
      <c r="B42" s="14">
        <v>44881</v>
      </c>
      <c r="C42" s="14" t="str">
        <f>TEXT(Table1[[#This Row],[Date]],"mmmm")</f>
        <v>November</v>
      </c>
      <c r="D42" t="s">
        <v>17</v>
      </c>
      <c r="E42" s="15">
        <v>3.49</v>
      </c>
      <c r="F42" s="16">
        <v>573.07</v>
      </c>
      <c r="G42" t="s">
        <v>55</v>
      </c>
      <c r="H42" t="s">
        <v>33</v>
      </c>
      <c r="I42" t="s">
        <v>48</v>
      </c>
      <c r="J42" t="s">
        <v>12</v>
      </c>
      <c r="K42" s="17">
        <f t="shared" si="0"/>
        <v>2000.0143</v>
      </c>
      <c r="L42" t="str">
        <f t="shared" si="1"/>
        <v>Wednesday</v>
      </c>
    </row>
    <row r="43" spans="1:12">
      <c r="A43">
        <v>10498</v>
      </c>
      <c r="B43" s="14">
        <v>44881</v>
      </c>
      <c r="C43" s="14" t="str">
        <f>TEXT(Table1[[#This Row],[Date]],"mmmm")</f>
        <v>November</v>
      </c>
      <c r="D43" t="s">
        <v>10</v>
      </c>
      <c r="E43" s="15">
        <v>2.95</v>
      </c>
      <c r="F43" s="16">
        <v>677.97</v>
      </c>
      <c r="G43" t="s">
        <v>52</v>
      </c>
      <c r="H43" t="s">
        <v>33</v>
      </c>
      <c r="I43" t="s">
        <v>48</v>
      </c>
      <c r="J43" t="s">
        <v>12</v>
      </c>
      <c r="K43" s="17">
        <f t="shared" si="0"/>
        <v>2000.0115</v>
      </c>
      <c r="L43" t="str">
        <f t="shared" si="1"/>
        <v>Thursday</v>
      </c>
    </row>
    <row r="44" spans="1:12">
      <c r="A44">
        <v>10499</v>
      </c>
      <c r="B44" s="14">
        <v>44881</v>
      </c>
      <c r="C44" s="14" t="str">
        <f>TEXT(Table1[[#This Row],[Date]],"mmmm")</f>
        <v>November</v>
      </c>
      <c r="D44" t="s">
        <v>7</v>
      </c>
      <c r="E44" s="15">
        <v>4.99</v>
      </c>
      <c r="F44" s="16">
        <v>200.4</v>
      </c>
      <c r="G44" t="s">
        <v>52</v>
      </c>
      <c r="H44" t="s">
        <v>33</v>
      </c>
      <c r="I44" t="s">
        <v>48</v>
      </c>
      <c r="J44" t="s">
        <v>12</v>
      </c>
      <c r="K44" s="17">
        <f t="shared" si="0"/>
        <v>999.996</v>
      </c>
      <c r="L44" t="str">
        <f t="shared" si="1"/>
        <v>Friday</v>
      </c>
    </row>
    <row r="45" spans="1:12">
      <c r="A45">
        <v>10500</v>
      </c>
      <c r="B45" s="14">
        <v>44882</v>
      </c>
      <c r="C45" s="14" t="str">
        <f>TEXT(Table1[[#This Row],[Date]],"mmmm")</f>
        <v>November</v>
      </c>
      <c r="D45" t="s">
        <v>20</v>
      </c>
      <c r="E45" s="15">
        <v>12.99</v>
      </c>
      <c r="F45" s="16">
        <v>523.48</v>
      </c>
      <c r="G45" t="s">
        <v>52</v>
      </c>
      <c r="H45" t="s">
        <v>33</v>
      </c>
      <c r="I45" t="s">
        <v>48</v>
      </c>
      <c r="J45" t="s">
        <v>12</v>
      </c>
      <c r="K45" s="17">
        <f t="shared" si="0"/>
        <v>6800.0052</v>
      </c>
      <c r="L45" t="str">
        <f t="shared" si="1"/>
        <v>Saturday</v>
      </c>
    </row>
    <row r="46" spans="1:12">
      <c r="A46">
        <v>10501</v>
      </c>
      <c r="B46" s="14">
        <v>44882</v>
      </c>
      <c r="C46" s="14" t="str">
        <f>TEXT(Table1[[#This Row],[Date]],"mmmm")</f>
        <v>November</v>
      </c>
      <c r="D46" t="s">
        <v>13</v>
      </c>
      <c r="E46" s="15">
        <v>9.95</v>
      </c>
      <c r="F46" s="16">
        <v>201.01</v>
      </c>
      <c r="G46" t="s">
        <v>52</v>
      </c>
      <c r="H46" t="s">
        <v>33</v>
      </c>
      <c r="I46" t="s">
        <v>48</v>
      </c>
      <c r="J46" t="s">
        <v>12</v>
      </c>
      <c r="K46" s="17">
        <f t="shared" si="0"/>
        <v>2000.0495</v>
      </c>
      <c r="L46" t="str">
        <f t="shared" si="1"/>
        <v>Sunday</v>
      </c>
    </row>
    <row r="47" spans="1:12">
      <c r="A47">
        <v>10502</v>
      </c>
      <c r="B47" s="14">
        <v>44882</v>
      </c>
      <c r="C47" s="14" t="str">
        <f>TEXT(Table1[[#This Row],[Date]],"mmmm")</f>
        <v>November</v>
      </c>
      <c r="D47" t="s">
        <v>17</v>
      </c>
      <c r="E47" s="15">
        <v>3.49</v>
      </c>
      <c r="F47" s="16">
        <v>630.37</v>
      </c>
      <c r="G47" t="s">
        <v>52</v>
      </c>
      <c r="H47" t="s">
        <v>33</v>
      </c>
      <c r="I47" t="s">
        <v>48</v>
      </c>
      <c r="J47" t="s">
        <v>12</v>
      </c>
      <c r="K47" s="17">
        <f t="shared" si="0"/>
        <v>2199.9913</v>
      </c>
      <c r="L47" t="str">
        <f t="shared" si="1"/>
        <v>Monday</v>
      </c>
    </row>
    <row r="48" spans="1:12">
      <c r="A48">
        <v>10503</v>
      </c>
      <c r="B48" s="14">
        <v>44882</v>
      </c>
      <c r="C48" s="14" t="str">
        <f>TEXT(Table1[[#This Row],[Date]],"mmmm")</f>
        <v>November</v>
      </c>
      <c r="D48" t="s">
        <v>10</v>
      </c>
      <c r="E48" s="15">
        <v>2.95</v>
      </c>
      <c r="F48" s="16">
        <v>677.97</v>
      </c>
      <c r="G48" t="s">
        <v>52</v>
      </c>
      <c r="H48" t="s">
        <v>33</v>
      </c>
      <c r="I48" t="s">
        <v>48</v>
      </c>
      <c r="J48" t="s">
        <v>12</v>
      </c>
      <c r="K48" s="17">
        <f t="shared" si="0"/>
        <v>2000.0115</v>
      </c>
      <c r="L48" t="str">
        <f t="shared" si="1"/>
        <v>Tuesday</v>
      </c>
    </row>
    <row r="49" spans="1:12">
      <c r="A49">
        <v>10504</v>
      </c>
      <c r="B49" s="14">
        <v>44882</v>
      </c>
      <c r="C49" s="14" t="str">
        <f>TEXT(Table1[[#This Row],[Date]],"mmmm")</f>
        <v>November</v>
      </c>
      <c r="D49" t="s">
        <v>7</v>
      </c>
      <c r="E49" s="15">
        <v>4.99</v>
      </c>
      <c r="F49" s="16">
        <v>200.4</v>
      </c>
      <c r="G49" t="s">
        <v>52</v>
      </c>
      <c r="H49" t="s">
        <v>33</v>
      </c>
      <c r="I49" t="s">
        <v>48</v>
      </c>
      <c r="J49" t="s">
        <v>12</v>
      </c>
      <c r="K49" s="17">
        <f t="shared" si="0"/>
        <v>999.996</v>
      </c>
      <c r="L49" t="str">
        <f t="shared" si="1"/>
        <v>Wednesday</v>
      </c>
    </row>
    <row r="50" spans="1:12">
      <c r="A50">
        <v>10505</v>
      </c>
      <c r="B50" s="14">
        <v>44883</v>
      </c>
      <c r="C50" s="14" t="str">
        <f>TEXT(Table1[[#This Row],[Date]],"mmmm")</f>
        <v>November</v>
      </c>
      <c r="D50" t="s">
        <v>20</v>
      </c>
      <c r="E50" s="15">
        <v>12.99</v>
      </c>
      <c r="F50" s="16">
        <v>538.88</v>
      </c>
      <c r="G50" t="s">
        <v>52</v>
      </c>
      <c r="H50" t="s">
        <v>33</v>
      </c>
      <c r="I50" t="s">
        <v>48</v>
      </c>
      <c r="J50" t="s">
        <v>12</v>
      </c>
      <c r="K50" s="17">
        <f t="shared" si="0"/>
        <v>7000.0512</v>
      </c>
      <c r="L50" t="str">
        <f t="shared" si="1"/>
        <v>Thursday</v>
      </c>
    </row>
    <row r="51" spans="1:12">
      <c r="A51">
        <v>10506</v>
      </c>
      <c r="B51" s="14">
        <v>44883</v>
      </c>
      <c r="C51" s="14" t="str">
        <f>TEXT(Table1[[#This Row],[Date]],"mmmm")</f>
        <v>November</v>
      </c>
      <c r="D51" t="s">
        <v>13</v>
      </c>
      <c r="E51" s="15">
        <v>9.95</v>
      </c>
      <c r="F51" s="16">
        <v>201.01</v>
      </c>
      <c r="G51" t="s">
        <v>52</v>
      </c>
      <c r="H51" t="s">
        <v>33</v>
      </c>
      <c r="I51" t="s">
        <v>48</v>
      </c>
      <c r="J51" t="s">
        <v>12</v>
      </c>
      <c r="K51" s="17">
        <f t="shared" si="0"/>
        <v>2000.0495</v>
      </c>
      <c r="L51" t="str">
        <f t="shared" si="1"/>
        <v>Friday</v>
      </c>
    </row>
    <row r="52" spans="1:12">
      <c r="A52">
        <v>10507</v>
      </c>
      <c r="B52" s="14">
        <v>44883</v>
      </c>
      <c r="C52" s="14" t="str">
        <f>TEXT(Table1[[#This Row],[Date]],"mmmm")</f>
        <v>November</v>
      </c>
      <c r="D52" t="s">
        <v>17</v>
      </c>
      <c r="E52" s="15">
        <v>3.49</v>
      </c>
      <c r="F52" s="16">
        <v>687.68</v>
      </c>
      <c r="G52" t="s">
        <v>52</v>
      </c>
      <c r="H52" t="s">
        <v>33</v>
      </c>
      <c r="I52" t="s">
        <v>48</v>
      </c>
      <c r="J52" t="s">
        <v>12</v>
      </c>
      <c r="K52" s="17">
        <f t="shared" si="0"/>
        <v>2400.0032</v>
      </c>
      <c r="L52" t="str">
        <f t="shared" si="1"/>
        <v>Saturday</v>
      </c>
    </row>
    <row r="53" spans="1:12">
      <c r="A53">
        <v>10508</v>
      </c>
      <c r="B53" s="14">
        <v>44883</v>
      </c>
      <c r="C53" s="14" t="str">
        <f>TEXT(Table1[[#This Row],[Date]],"mmmm")</f>
        <v>November</v>
      </c>
      <c r="D53" t="s">
        <v>10</v>
      </c>
      <c r="E53" s="15">
        <v>2.95</v>
      </c>
      <c r="F53" s="16">
        <v>677.97</v>
      </c>
      <c r="G53" t="s">
        <v>52</v>
      </c>
      <c r="H53" t="s">
        <v>33</v>
      </c>
      <c r="I53" t="s">
        <v>48</v>
      </c>
      <c r="J53" t="s">
        <v>12</v>
      </c>
      <c r="K53" s="17">
        <f t="shared" si="0"/>
        <v>2000.0115</v>
      </c>
      <c r="L53" t="str">
        <f t="shared" si="1"/>
        <v>Sunday</v>
      </c>
    </row>
    <row r="54" spans="1:12">
      <c r="A54">
        <v>10509</v>
      </c>
      <c r="B54" s="14">
        <v>44883</v>
      </c>
      <c r="C54" s="14" t="str">
        <f>TEXT(Table1[[#This Row],[Date]],"mmmm")</f>
        <v>November</v>
      </c>
      <c r="D54" t="s">
        <v>7</v>
      </c>
      <c r="E54" s="15">
        <v>4.99</v>
      </c>
      <c r="F54" s="16">
        <v>200.4</v>
      </c>
      <c r="G54" t="s">
        <v>52</v>
      </c>
      <c r="H54" t="s">
        <v>33</v>
      </c>
      <c r="I54" t="s">
        <v>48</v>
      </c>
      <c r="J54" t="s">
        <v>12</v>
      </c>
      <c r="K54" s="17">
        <f t="shared" si="0"/>
        <v>999.996</v>
      </c>
      <c r="L54" t="str">
        <f t="shared" si="1"/>
        <v>Monday</v>
      </c>
    </row>
    <row r="55" spans="1:12">
      <c r="A55">
        <v>10510</v>
      </c>
      <c r="B55" s="14">
        <v>44884</v>
      </c>
      <c r="C55" s="14" t="str">
        <f>TEXT(Table1[[#This Row],[Date]],"mmmm")</f>
        <v>November</v>
      </c>
      <c r="D55" t="s">
        <v>20</v>
      </c>
      <c r="E55" s="15">
        <v>12.99</v>
      </c>
      <c r="F55" s="16">
        <v>508.08</v>
      </c>
      <c r="G55" t="s">
        <v>52</v>
      </c>
      <c r="H55" t="s">
        <v>33</v>
      </c>
      <c r="I55" t="s">
        <v>48</v>
      </c>
      <c r="J55" t="s">
        <v>12</v>
      </c>
      <c r="K55" s="17">
        <f t="shared" si="0"/>
        <v>6599.9592</v>
      </c>
      <c r="L55" t="str">
        <f t="shared" si="1"/>
        <v>Tuesday</v>
      </c>
    </row>
    <row r="56" spans="1:12">
      <c r="A56">
        <v>10511</v>
      </c>
      <c r="B56" s="14">
        <v>44884</v>
      </c>
      <c r="C56" s="14" t="str">
        <f>TEXT(Table1[[#This Row],[Date]],"mmmm")</f>
        <v>November</v>
      </c>
      <c r="D56" t="s">
        <v>13</v>
      </c>
      <c r="E56" s="15">
        <v>9.95</v>
      </c>
      <c r="F56" s="16">
        <v>201.01</v>
      </c>
      <c r="G56" t="s">
        <v>52</v>
      </c>
      <c r="H56" t="s">
        <v>33</v>
      </c>
      <c r="I56" t="s">
        <v>46</v>
      </c>
      <c r="J56" t="s">
        <v>19</v>
      </c>
      <c r="K56" s="17">
        <f t="shared" si="0"/>
        <v>2000.0495</v>
      </c>
      <c r="L56" t="str">
        <f t="shared" si="1"/>
        <v>Wednesday</v>
      </c>
    </row>
    <row r="57" spans="1:12">
      <c r="A57">
        <v>10512</v>
      </c>
      <c r="B57" s="14">
        <v>44884</v>
      </c>
      <c r="C57" s="14" t="str">
        <f>TEXT(Table1[[#This Row],[Date]],"mmmm")</f>
        <v>November</v>
      </c>
      <c r="D57" t="s">
        <v>17</v>
      </c>
      <c r="E57" s="15">
        <v>3.49</v>
      </c>
      <c r="F57" s="16">
        <v>687.68</v>
      </c>
      <c r="G57" t="s">
        <v>52</v>
      </c>
      <c r="H57" t="s">
        <v>33</v>
      </c>
      <c r="I57" t="s">
        <v>46</v>
      </c>
      <c r="J57" t="s">
        <v>19</v>
      </c>
      <c r="K57" s="17">
        <f t="shared" si="0"/>
        <v>2400.0032</v>
      </c>
      <c r="L57" t="str">
        <f t="shared" si="1"/>
        <v>Thursday</v>
      </c>
    </row>
    <row r="58" spans="1:12">
      <c r="A58">
        <v>10513</v>
      </c>
      <c r="B58" s="14">
        <v>44884</v>
      </c>
      <c r="C58" s="14" t="str">
        <f>TEXT(Table1[[#This Row],[Date]],"mmmm")</f>
        <v>November</v>
      </c>
      <c r="D58" t="s">
        <v>10</v>
      </c>
      <c r="E58" s="15">
        <v>2.95</v>
      </c>
      <c r="F58" s="16">
        <v>677.97</v>
      </c>
      <c r="G58" t="s">
        <v>52</v>
      </c>
      <c r="H58" t="s">
        <v>30</v>
      </c>
      <c r="I58" t="s">
        <v>46</v>
      </c>
      <c r="J58" t="s">
        <v>19</v>
      </c>
      <c r="K58" s="17">
        <f t="shared" si="0"/>
        <v>2000.0115</v>
      </c>
      <c r="L58" t="str">
        <f t="shared" si="1"/>
        <v>Friday</v>
      </c>
    </row>
    <row r="59" spans="1:12">
      <c r="A59">
        <v>10514</v>
      </c>
      <c r="B59" s="14">
        <v>44884</v>
      </c>
      <c r="C59" s="14" t="str">
        <f>TEXT(Table1[[#This Row],[Date]],"mmmm")</f>
        <v>November</v>
      </c>
      <c r="D59" t="s">
        <v>7</v>
      </c>
      <c r="E59" s="15">
        <v>4.99</v>
      </c>
      <c r="F59" s="16">
        <v>200.4</v>
      </c>
      <c r="G59" t="s">
        <v>52</v>
      </c>
      <c r="H59" t="s">
        <v>30</v>
      </c>
      <c r="I59" t="s">
        <v>46</v>
      </c>
      <c r="J59" t="s">
        <v>19</v>
      </c>
      <c r="K59" s="17">
        <f t="shared" si="0"/>
        <v>999.996</v>
      </c>
      <c r="L59" t="str">
        <f t="shared" si="1"/>
        <v>Saturday</v>
      </c>
    </row>
    <row r="60" spans="1:12">
      <c r="A60">
        <v>10515</v>
      </c>
      <c r="B60" s="14">
        <v>44885</v>
      </c>
      <c r="C60" s="14" t="str">
        <f>TEXT(Table1[[#This Row],[Date]],"mmmm")</f>
        <v>November</v>
      </c>
      <c r="D60" t="s">
        <v>20</v>
      </c>
      <c r="E60" s="15">
        <v>12.99</v>
      </c>
      <c r="F60" s="16">
        <v>477.29</v>
      </c>
      <c r="G60" t="s">
        <v>52</v>
      </c>
      <c r="H60" t="s">
        <v>30</v>
      </c>
      <c r="I60" t="s">
        <v>46</v>
      </c>
      <c r="J60" t="s">
        <v>19</v>
      </c>
      <c r="K60" s="17">
        <f t="shared" si="0"/>
        <v>6199.9971</v>
      </c>
      <c r="L60" t="str">
        <f t="shared" si="1"/>
        <v>Sunday</v>
      </c>
    </row>
    <row r="61" spans="1:12">
      <c r="A61">
        <v>10516</v>
      </c>
      <c r="B61" s="14">
        <v>44885</v>
      </c>
      <c r="C61" s="14" t="str">
        <f>TEXT(Table1[[#This Row],[Date]],"mmmm")</f>
        <v>November</v>
      </c>
      <c r="D61" t="s">
        <v>13</v>
      </c>
      <c r="E61" s="15">
        <v>9.95</v>
      </c>
      <c r="F61" s="16">
        <v>201.01</v>
      </c>
      <c r="G61" t="s">
        <v>52</v>
      </c>
      <c r="H61" t="s">
        <v>30</v>
      </c>
      <c r="I61" t="s">
        <v>46</v>
      </c>
      <c r="J61" t="s">
        <v>19</v>
      </c>
      <c r="K61" s="17">
        <f t="shared" si="0"/>
        <v>2000.0495</v>
      </c>
      <c r="L61" t="str">
        <f t="shared" si="1"/>
        <v>Monday</v>
      </c>
    </row>
    <row r="62" spans="1:12">
      <c r="A62">
        <v>10483</v>
      </c>
      <c r="B62" s="14">
        <v>44878</v>
      </c>
      <c r="C62" s="14" t="str">
        <f>TEXT(Table1[[#This Row],[Date]],"mmmm")</f>
        <v>November</v>
      </c>
      <c r="D62" t="s">
        <v>10</v>
      </c>
      <c r="E62" s="15">
        <v>2.95</v>
      </c>
      <c r="F62" s="16">
        <v>677.97</v>
      </c>
      <c r="G62" t="s">
        <v>55</v>
      </c>
      <c r="H62" t="s">
        <v>33</v>
      </c>
      <c r="I62" t="s">
        <v>46</v>
      </c>
      <c r="J62" t="s">
        <v>19</v>
      </c>
      <c r="K62" s="17">
        <f t="shared" si="0"/>
        <v>2000.0115</v>
      </c>
      <c r="L62" t="str">
        <f t="shared" si="1"/>
        <v>Wednesday</v>
      </c>
    </row>
    <row r="63" spans="1:12">
      <c r="A63">
        <v>10484</v>
      </c>
      <c r="B63" s="14">
        <v>44878</v>
      </c>
      <c r="C63" s="14" t="str">
        <f>TEXT(Table1[[#This Row],[Date]],"mmmm")</f>
        <v>November</v>
      </c>
      <c r="D63" t="s">
        <v>7</v>
      </c>
      <c r="E63" s="15">
        <v>4.99</v>
      </c>
      <c r="F63" s="16">
        <v>200.4</v>
      </c>
      <c r="G63" t="s">
        <v>55</v>
      </c>
      <c r="H63" t="s">
        <v>33</v>
      </c>
      <c r="I63" t="s">
        <v>46</v>
      </c>
      <c r="J63" t="s">
        <v>19</v>
      </c>
      <c r="K63" s="17">
        <f t="shared" si="0"/>
        <v>999.996</v>
      </c>
      <c r="L63" t="str">
        <f t="shared" si="1"/>
        <v>Thursday</v>
      </c>
    </row>
    <row r="64" spans="1:12">
      <c r="A64">
        <v>10485</v>
      </c>
      <c r="B64" s="14">
        <v>44879</v>
      </c>
      <c r="C64" s="14" t="str">
        <f>TEXT(Table1[[#This Row],[Date]],"mmmm")</f>
        <v>November</v>
      </c>
      <c r="D64" t="s">
        <v>20</v>
      </c>
      <c r="E64" s="15">
        <v>12.99</v>
      </c>
      <c r="F64" s="16">
        <v>523.48</v>
      </c>
      <c r="G64" t="s">
        <v>55</v>
      </c>
      <c r="H64" t="s">
        <v>33</v>
      </c>
      <c r="I64" t="s">
        <v>46</v>
      </c>
      <c r="J64" t="s">
        <v>19</v>
      </c>
      <c r="K64" s="17">
        <f t="shared" si="0"/>
        <v>6800.0052</v>
      </c>
      <c r="L64" t="str">
        <f t="shared" si="1"/>
        <v>Friday</v>
      </c>
    </row>
    <row r="65" spans="1:12">
      <c r="A65">
        <v>10520</v>
      </c>
      <c r="B65" s="14">
        <v>44886</v>
      </c>
      <c r="C65" s="14" t="str">
        <f>TEXT(Table1[[#This Row],[Date]],"mmmm")</f>
        <v>November</v>
      </c>
      <c r="D65" t="s">
        <v>20</v>
      </c>
      <c r="E65" s="15">
        <v>12.99</v>
      </c>
      <c r="F65" s="16">
        <v>492.69</v>
      </c>
      <c r="G65" t="s">
        <v>52</v>
      </c>
      <c r="H65" t="s">
        <v>30</v>
      </c>
      <c r="I65" t="s">
        <v>50</v>
      </c>
      <c r="J65" t="s">
        <v>6</v>
      </c>
      <c r="K65" s="17">
        <f t="shared" si="0"/>
        <v>6400.0431</v>
      </c>
      <c r="L65" t="str">
        <f t="shared" si="1"/>
        <v>Friday</v>
      </c>
    </row>
    <row r="66" spans="1:12">
      <c r="A66">
        <v>10521</v>
      </c>
      <c r="B66" s="14">
        <v>44886</v>
      </c>
      <c r="C66" s="14" t="str">
        <f>TEXT(Table1[[#This Row],[Date]],"mmmm")</f>
        <v>November</v>
      </c>
      <c r="D66" t="s">
        <v>13</v>
      </c>
      <c r="E66" s="15">
        <v>9.95</v>
      </c>
      <c r="F66" s="16">
        <v>201.01</v>
      </c>
      <c r="G66" t="s">
        <v>52</v>
      </c>
      <c r="H66" t="s">
        <v>30</v>
      </c>
      <c r="I66" t="s">
        <v>50</v>
      </c>
      <c r="J66" t="s">
        <v>6</v>
      </c>
      <c r="K66" s="17">
        <f t="shared" ref="K66:K129" si="2">E66*F66</f>
        <v>2000.0495</v>
      </c>
      <c r="L66" t="str">
        <f t="shared" ref="L66:L129" si="3">TEXT(A66,"dddd")</f>
        <v>Saturday</v>
      </c>
    </row>
    <row r="67" spans="1:12">
      <c r="A67">
        <v>10522</v>
      </c>
      <c r="B67" s="14">
        <v>44886</v>
      </c>
      <c r="C67" s="14" t="str">
        <f>TEXT(Table1[[#This Row],[Date]],"mmmm")</f>
        <v>November</v>
      </c>
      <c r="D67" t="s">
        <v>17</v>
      </c>
      <c r="E67" s="15">
        <v>3.49</v>
      </c>
      <c r="F67" s="16">
        <v>687.68</v>
      </c>
      <c r="G67" t="s">
        <v>52</v>
      </c>
      <c r="H67" t="s">
        <v>30</v>
      </c>
      <c r="I67" t="s">
        <v>50</v>
      </c>
      <c r="J67" t="s">
        <v>6</v>
      </c>
      <c r="K67" s="17">
        <f t="shared" si="2"/>
        <v>2400.0032</v>
      </c>
      <c r="L67" t="str">
        <f t="shared" si="3"/>
        <v>Sunday</v>
      </c>
    </row>
    <row r="68" spans="1:12">
      <c r="A68">
        <v>10523</v>
      </c>
      <c r="B68" s="14">
        <v>44886</v>
      </c>
      <c r="C68" s="14" t="str">
        <f>TEXT(Table1[[#This Row],[Date]],"mmmm")</f>
        <v>November</v>
      </c>
      <c r="D68" t="s">
        <v>10</v>
      </c>
      <c r="E68" s="15">
        <v>2.95</v>
      </c>
      <c r="F68" s="16">
        <v>745.76</v>
      </c>
      <c r="G68" t="s">
        <v>52</v>
      </c>
      <c r="H68" t="s">
        <v>30</v>
      </c>
      <c r="I68" t="s">
        <v>50</v>
      </c>
      <c r="J68" t="s">
        <v>6</v>
      </c>
      <c r="K68" s="17">
        <f t="shared" si="2"/>
        <v>2199.992</v>
      </c>
      <c r="L68" t="str">
        <f t="shared" si="3"/>
        <v>Monday</v>
      </c>
    </row>
    <row r="69" spans="1:12">
      <c r="A69">
        <v>10524</v>
      </c>
      <c r="B69" s="14">
        <v>44886</v>
      </c>
      <c r="C69" s="14" t="str">
        <f>TEXT(Table1[[#This Row],[Date]],"mmmm")</f>
        <v>November</v>
      </c>
      <c r="D69" t="s">
        <v>7</v>
      </c>
      <c r="E69" s="15">
        <v>4.99</v>
      </c>
      <c r="F69" s="16">
        <v>200.4</v>
      </c>
      <c r="G69" t="s">
        <v>52</v>
      </c>
      <c r="H69" t="s">
        <v>30</v>
      </c>
      <c r="I69" t="s">
        <v>50</v>
      </c>
      <c r="J69" t="s">
        <v>6</v>
      </c>
      <c r="K69" s="17">
        <f t="shared" si="2"/>
        <v>999.996</v>
      </c>
      <c r="L69" t="str">
        <f t="shared" si="3"/>
        <v>Tuesday</v>
      </c>
    </row>
    <row r="70" spans="1:12">
      <c r="A70">
        <v>10525</v>
      </c>
      <c r="B70" s="14">
        <v>44887</v>
      </c>
      <c r="C70" s="14" t="str">
        <f>TEXT(Table1[[#This Row],[Date]],"mmmm")</f>
        <v>November</v>
      </c>
      <c r="D70" t="s">
        <v>20</v>
      </c>
      <c r="E70" s="15">
        <v>12.99</v>
      </c>
      <c r="F70" s="16">
        <v>461.89</v>
      </c>
      <c r="G70" t="s">
        <v>52</v>
      </c>
      <c r="H70" t="s">
        <v>30</v>
      </c>
      <c r="I70" t="s">
        <v>50</v>
      </c>
      <c r="J70" t="s">
        <v>6</v>
      </c>
      <c r="K70" s="17">
        <f t="shared" si="2"/>
        <v>5999.9511</v>
      </c>
      <c r="L70" t="str">
        <f t="shared" si="3"/>
        <v>Wednesday</v>
      </c>
    </row>
    <row r="71" spans="1:12">
      <c r="A71">
        <v>10526</v>
      </c>
      <c r="B71" s="14">
        <v>44887</v>
      </c>
      <c r="C71" s="14" t="str">
        <f>TEXT(Table1[[#This Row],[Date]],"mmmm")</f>
        <v>November</v>
      </c>
      <c r="D71" t="s">
        <v>13</v>
      </c>
      <c r="E71" s="15">
        <v>9.95</v>
      </c>
      <c r="F71" s="16">
        <v>201.01</v>
      </c>
      <c r="G71" t="s">
        <v>52</v>
      </c>
      <c r="H71" t="s">
        <v>30</v>
      </c>
      <c r="I71" t="s">
        <v>50</v>
      </c>
      <c r="J71" t="s">
        <v>6</v>
      </c>
      <c r="K71" s="17">
        <f t="shared" si="2"/>
        <v>2000.0495</v>
      </c>
      <c r="L71" t="str">
        <f t="shared" si="3"/>
        <v>Thursday</v>
      </c>
    </row>
    <row r="72" spans="1:12">
      <c r="A72">
        <v>10527</v>
      </c>
      <c r="B72" s="14">
        <v>44887</v>
      </c>
      <c r="C72" s="14" t="str">
        <f>TEXT(Table1[[#This Row],[Date]],"mmmm")</f>
        <v>November</v>
      </c>
      <c r="D72" t="s">
        <v>17</v>
      </c>
      <c r="E72" s="15">
        <v>3.49</v>
      </c>
      <c r="F72" s="16">
        <v>687.68</v>
      </c>
      <c r="G72" t="s">
        <v>52</v>
      </c>
      <c r="H72" t="s">
        <v>30</v>
      </c>
      <c r="I72" t="s">
        <v>50</v>
      </c>
      <c r="J72" t="s">
        <v>6</v>
      </c>
      <c r="K72" s="17">
        <f t="shared" si="2"/>
        <v>2400.0032</v>
      </c>
      <c r="L72" t="str">
        <f t="shared" si="3"/>
        <v>Friday</v>
      </c>
    </row>
    <row r="73" spans="1:12">
      <c r="A73">
        <v>10528</v>
      </c>
      <c r="B73" s="14">
        <v>44887</v>
      </c>
      <c r="C73" s="14" t="str">
        <f>TEXT(Table1[[#This Row],[Date]],"mmmm")</f>
        <v>November</v>
      </c>
      <c r="D73" t="s">
        <v>10</v>
      </c>
      <c r="E73" s="15">
        <v>2.95</v>
      </c>
      <c r="F73" s="16">
        <v>745.76</v>
      </c>
      <c r="G73" t="s">
        <v>52</v>
      </c>
      <c r="H73" t="s">
        <v>30</v>
      </c>
      <c r="I73" t="s">
        <v>50</v>
      </c>
      <c r="J73" t="s">
        <v>6</v>
      </c>
      <c r="K73" s="17">
        <f t="shared" si="2"/>
        <v>2199.992</v>
      </c>
      <c r="L73" t="str">
        <f t="shared" si="3"/>
        <v>Saturday</v>
      </c>
    </row>
    <row r="74" spans="1:12">
      <c r="A74">
        <v>10529</v>
      </c>
      <c r="B74" s="14">
        <v>44887</v>
      </c>
      <c r="C74" s="14" t="str">
        <f>TEXT(Table1[[#This Row],[Date]],"mmmm")</f>
        <v>November</v>
      </c>
      <c r="D74" t="s">
        <v>7</v>
      </c>
      <c r="E74" s="15">
        <v>4.99</v>
      </c>
      <c r="F74" s="16">
        <v>200.4</v>
      </c>
      <c r="G74" t="s">
        <v>52</v>
      </c>
      <c r="H74" t="s">
        <v>30</v>
      </c>
      <c r="I74" t="s">
        <v>50</v>
      </c>
      <c r="J74" t="s">
        <v>6</v>
      </c>
      <c r="K74" s="17">
        <f t="shared" si="2"/>
        <v>999.996</v>
      </c>
      <c r="L74" t="str">
        <f t="shared" si="3"/>
        <v>Sunday</v>
      </c>
    </row>
    <row r="75" spans="1:12">
      <c r="A75">
        <v>10530</v>
      </c>
      <c r="B75" s="14">
        <v>44888</v>
      </c>
      <c r="C75" s="14" t="str">
        <f>TEXT(Table1[[#This Row],[Date]],"mmmm")</f>
        <v>November</v>
      </c>
      <c r="D75" t="s">
        <v>20</v>
      </c>
      <c r="E75" s="15">
        <v>12.99</v>
      </c>
      <c r="F75" s="16">
        <v>477.29</v>
      </c>
      <c r="G75" t="s">
        <v>52</v>
      </c>
      <c r="H75" t="s">
        <v>30</v>
      </c>
      <c r="I75" t="s">
        <v>50</v>
      </c>
      <c r="J75" t="s">
        <v>6</v>
      </c>
      <c r="K75" s="17">
        <f t="shared" si="2"/>
        <v>6199.9971</v>
      </c>
      <c r="L75" t="str">
        <f t="shared" si="3"/>
        <v>Monday</v>
      </c>
    </row>
    <row r="76" spans="1:12">
      <c r="A76">
        <v>10531</v>
      </c>
      <c r="B76" s="14">
        <v>44888</v>
      </c>
      <c r="C76" s="14" t="str">
        <f>TEXT(Table1[[#This Row],[Date]],"mmmm")</f>
        <v>November</v>
      </c>
      <c r="D76" t="s">
        <v>13</v>
      </c>
      <c r="E76" s="15">
        <v>9.95</v>
      </c>
      <c r="F76" s="16">
        <v>201.01</v>
      </c>
      <c r="G76" t="s">
        <v>52</v>
      </c>
      <c r="H76" t="s">
        <v>30</v>
      </c>
      <c r="I76" t="s">
        <v>50</v>
      </c>
      <c r="J76" t="s">
        <v>6</v>
      </c>
      <c r="K76" s="17">
        <f t="shared" si="2"/>
        <v>2000.0495</v>
      </c>
      <c r="L76" t="str">
        <f t="shared" si="3"/>
        <v>Tuesday</v>
      </c>
    </row>
    <row r="77" spans="1:12">
      <c r="A77">
        <v>10532</v>
      </c>
      <c r="B77" s="14">
        <v>44888</v>
      </c>
      <c r="C77" s="14" t="str">
        <f>TEXT(Table1[[#This Row],[Date]],"mmmm")</f>
        <v>November</v>
      </c>
      <c r="D77" t="s">
        <v>17</v>
      </c>
      <c r="E77" s="15">
        <v>3.49</v>
      </c>
      <c r="F77" s="16">
        <v>687.68</v>
      </c>
      <c r="G77" t="s">
        <v>52</v>
      </c>
      <c r="H77" t="s">
        <v>30</v>
      </c>
      <c r="I77" t="s">
        <v>46</v>
      </c>
      <c r="J77" t="s">
        <v>19</v>
      </c>
      <c r="K77" s="17">
        <f t="shared" si="2"/>
        <v>2400.0032</v>
      </c>
      <c r="L77" t="str">
        <f t="shared" si="3"/>
        <v>Wednesday</v>
      </c>
    </row>
    <row r="78" spans="1:12">
      <c r="A78">
        <v>10533</v>
      </c>
      <c r="B78" s="14">
        <v>44888</v>
      </c>
      <c r="C78" s="14" t="str">
        <f>TEXT(Table1[[#This Row],[Date]],"mmmm")</f>
        <v>November</v>
      </c>
      <c r="D78" t="s">
        <v>10</v>
      </c>
      <c r="E78" s="15">
        <v>2.95</v>
      </c>
      <c r="F78" s="16">
        <v>745.76</v>
      </c>
      <c r="G78" t="s">
        <v>52</v>
      </c>
      <c r="H78" t="s">
        <v>30</v>
      </c>
      <c r="I78" t="s">
        <v>46</v>
      </c>
      <c r="J78" t="s">
        <v>19</v>
      </c>
      <c r="K78" s="17">
        <f t="shared" si="2"/>
        <v>2199.992</v>
      </c>
      <c r="L78" t="str">
        <f t="shared" si="3"/>
        <v>Thursday</v>
      </c>
    </row>
    <row r="79" spans="1:12">
      <c r="A79">
        <v>10534</v>
      </c>
      <c r="B79" s="14">
        <v>44888</v>
      </c>
      <c r="C79" s="14" t="str">
        <f>TEXT(Table1[[#This Row],[Date]],"mmmm")</f>
        <v>November</v>
      </c>
      <c r="D79" t="s">
        <v>7</v>
      </c>
      <c r="E79" s="15">
        <v>4.99</v>
      </c>
      <c r="F79" s="16">
        <v>200.4</v>
      </c>
      <c r="G79" t="s">
        <v>52</v>
      </c>
      <c r="H79" t="s">
        <v>30</v>
      </c>
      <c r="I79" t="s">
        <v>48</v>
      </c>
      <c r="J79" t="s">
        <v>12</v>
      </c>
      <c r="K79" s="17">
        <f t="shared" si="2"/>
        <v>999.996</v>
      </c>
      <c r="L79" t="str">
        <f t="shared" si="3"/>
        <v>Friday</v>
      </c>
    </row>
    <row r="80" spans="1:12">
      <c r="A80">
        <v>10535</v>
      </c>
      <c r="B80" s="14">
        <v>44889</v>
      </c>
      <c r="C80" s="14" t="str">
        <f>TEXT(Table1[[#This Row],[Date]],"mmmm")</f>
        <v>November</v>
      </c>
      <c r="D80" t="s">
        <v>20</v>
      </c>
      <c r="E80" s="15">
        <v>12.99</v>
      </c>
      <c r="F80" s="16">
        <v>477.29</v>
      </c>
      <c r="G80" t="s">
        <v>52</v>
      </c>
      <c r="H80" t="s">
        <v>33</v>
      </c>
      <c r="I80" t="s">
        <v>48</v>
      </c>
      <c r="J80" t="s">
        <v>12</v>
      </c>
      <c r="K80" s="17">
        <f t="shared" si="2"/>
        <v>6199.9971</v>
      </c>
      <c r="L80" t="str">
        <f t="shared" si="3"/>
        <v>Saturday</v>
      </c>
    </row>
    <row r="81" spans="1:12">
      <c r="A81">
        <v>10536</v>
      </c>
      <c r="B81" s="14">
        <v>44889</v>
      </c>
      <c r="C81" s="14" t="str">
        <f>TEXT(Table1[[#This Row],[Date]],"mmmm")</f>
        <v>November</v>
      </c>
      <c r="D81" t="s">
        <v>13</v>
      </c>
      <c r="E81" s="15">
        <v>9.95</v>
      </c>
      <c r="F81" s="16">
        <v>201.01</v>
      </c>
      <c r="G81" t="s">
        <v>52</v>
      </c>
      <c r="H81" t="s">
        <v>33</v>
      </c>
      <c r="I81" t="s">
        <v>48</v>
      </c>
      <c r="J81" t="s">
        <v>12</v>
      </c>
      <c r="K81" s="17">
        <f t="shared" si="2"/>
        <v>2000.0495</v>
      </c>
      <c r="L81" t="str">
        <f t="shared" si="3"/>
        <v>Sunday</v>
      </c>
    </row>
    <row r="82" spans="1:12">
      <c r="A82">
        <v>10540</v>
      </c>
      <c r="B82" s="14">
        <v>44890</v>
      </c>
      <c r="C82" s="14" t="str">
        <f>TEXT(Table1[[#This Row],[Date]],"mmmm")</f>
        <v>November</v>
      </c>
      <c r="D82" t="s">
        <v>20</v>
      </c>
      <c r="E82" s="15">
        <v>12.99</v>
      </c>
      <c r="F82" s="16">
        <v>461.89</v>
      </c>
      <c r="G82" t="s">
        <v>52</v>
      </c>
      <c r="H82" t="s">
        <v>33</v>
      </c>
      <c r="I82" t="s">
        <v>48</v>
      </c>
      <c r="J82" t="s">
        <v>12</v>
      </c>
      <c r="K82" s="17">
        <f t="shared" si="2"/>
        <v>5999.9511</v>
      </c>
      <c r="L82" t="str">
        <f t="shared" si="3"/>
        <v>Thursday</v>
      </c>
    </row>
    <row r="83" spans="1:12">
      <c r="A83">
        <v>10541</v>
      </c>
      <c r="B83" s="14">
        <v>44890</v>
      </c>
      <c r="C83" s="14" t="str">
        <f>TEXT(Table1[[#This Row],[Date]],"mmmm")</f>
        <v>November</v>
      </c>
      <c r="D83" t="s">
        <v>13</v>
      </c>
      <c r="E83" s="15">
        <v>9.95</v>
      </c>
      <c r="F83" s="16">
        <v>201.01</v>
      </c>
      <c r="G83" t="s">
        <v>52</v>
      </c>
      <c r="H83" t="s">
        <v>33</v>
      </c>
      <c r="I83" t="s">
        <v>53</v>
      </c>
      <c r="J83" t="s">
        <v>16</v>
      </c>
      <c r="K83" s="17">
        <f t="shared" si="2"/>
        <v>2000.0495</v>
      </c>
      <c r="L83" t="str">
        <f t="shared" si="3"/>
        <v>Friday</v>
      </c>
    </row>
    <row r="84" spans="1:12">
      <c r="A84">
        <v>10542</v>
      </c>
      <c r="B84" s="14">
        <v>44890</v>
      </c>
      <c r="C84" s="14" t="str">
        <f>TEXT(Table1[[#This Row],[Date]],"mmmm")</f>
        <v>November</v>
      </c>
      <c r="D84" t="s">
        <v>17</v>
      </c>
      <c r="E84" s="15">
        <v>3.49</v>
      </c>
      <c r="F84" s="16">
        <v>630.37</v>
      </c>
      <c r="G84" t="s">
        <v>52</v>
      </c>
      <c r="H84" t="s">
        <v>33</v>
      </c>
      <c r="I84" t="s">
        <v>53</v>
      </c>
      <c r="J84" t="s">
        <v>16</v>
      </c>
      <c r="K84" s="17">
        <f t="shared" si="2"/>
        <v>2199.9913</v>
      </c>
      <c r="L84" t="str">
        <f t="shared" si="3"/>
        <v>Saturday</v>
      </c>
    </row>
    <row r="85" spans="1:12">
      <c r="A85">
        <v>10543</v>
      </c>
      <c r="B85" s="14">
        <v>44890</v>
      </c>
      <c r="C85" s="14" t="str">
        <f>TEXT(Table1[[#This Row],[Date]],"mmmm")</f>
        <v>November</v>
      </c>
      <c r="D85" t="s">
        <v>10</v>
      </c>
      <c r="E85" s="15">
        <v>2.95</v>
      </c>
      <c r="F85" s="16">
        <v>745.76</v>
      </c>
      <c r="G85" t="s">
        <v>52</v>
      </c>
      <c r="H85" t="s">
        <v>33</v>
      </c>
      <c r="I85" t="s">
        <v>53</v>
      </c>
      <c r="J85" t="s">
        <v>16</v>
      </c>
      <c r="K85" s="17">
        <f t="shared" si="2"/>
        <v>2199.992</v>
      </c>
      <c r="L85" t="str">
        <f t="shared" si="3"/>
        <v>Sunday</v>
      </c>
    </row>
    <row r="86" spans="1:12">
      <c r="A86">
        <v>10544</v>
      </c>
      <c r="B86" s="14">
        <v>44890</v>
      </c>
      <c r="C86" s="14" t="str">
        <f>TEXT(Table1[[#This Row],[Date]],"mmmm")</f>
        <v>November</v>
      </c>
      <c r="D86" t="s">
        <v>7</v>
      </c>
      <c r="E86" s="15">
        <v>4.99</v>
      </c>
      <c r="F86" s="16">
        <v>200.4</v>
      </c>
      <c r="G86" t="s">
        <v>52</v>
      </c>
      <c r="H86" t="s">
        <v>33</v>
      </c>
      <c r="I86" t="s">
        <v>53</v>
      </c>
      <c r="J86" t="s">
        <v>16</v>
      </c>
      <c r="K86" s="17">
        <f t="shared" si="2"/>
        <v>999.996</v>
      </c>
      <c r="L86" t="str">
        <f t="shared" si="3"/>
        <v>Monday</v>
      </c>
    </row>
    <row r="87" spans="1:12">
      <c r="A87">
        <v>10545</v>
      </c>
      <c r="B87" s="14">
        <v>44891</v>
      </c>
      <c r="C87" s="14" t="str">
        <f>TEXT(Table1[[#This Row],[Date]],"mmmm")</f>
        <v>November</v>
      </c>
      <c r="D87" t="s">
        <v>20</v>
      </c>
      <c r="E87" s="15">
        <v>12.99</v>
      </c>
      <c r="F87" s="16">
        <v>446.5</v>
      </c>
      <c r="G87" t="s">
        <v>52</v>
      </c>
      <c r="H87" t="s">
        <v>33</v>
      </c>
      <c r="I87" t="s">
        <v>53</v>
      </c>
      <c r="J87" t="s">
        <v>16</v>
      </c>
      <c r="K87" s="17">
        <f t="shared" si="2"/>
        <v>5800.035</v>
      </c>
      <c r="L87" t="str">
        <f t="shared" si="3"/>
        <v>Tuesday</v>
      </c>
    </row>
    <row r="88" spans="1:12">
      <c r="A88">
        <v>10546</v>
      </c>
      <c r="B88" s="14">
        <v>44891</v>
      </c>
      <c r="C88" s="14" t="str">
        <f>TEXT(Table1[[#This Row],[Date]],"mmmm")</f>
        <v>November</v>
      </c>
      <c r="D88" t="s">
        <v>13</v>
      </c>
      <c r="E88" s="15">
        <v>9.95</v>
      </c>
      <c r="F88" s="16">
        <v>201.01</v>
      </c>
      <c r="G88" t="s">
        <v>52</v>
      </c>
      <c r="H88" t="s">
        <v>33</v>
      </c>
      <c r="I88" t="s">
        <v>53</v>
      </c>
      <c r="J88" t="s">
        <v>16</v>
      </c>
      <c r="K88" s="17">
        <f t="shared" si="2"/>
        <v>2000.0495</v>
      </c>
      <c r="L88" t="str">
        <f t="shared" si="3"/>
        <v>Wednesday</v>
      </c>
    </row>
    <row r="89" spans="1:12">
      <c r="A89">
        <v>10547</v>
      </c>
      <c r="B89" s="14">
        <v>44891</v>
      </c>
      <c r="C89" s="14" t="str">
        <f>TEXT(Table1[[#This Row],[Date]],"mmmm")</f>
        <v>November</v>
      </c>
      <c r="D89" t="s">
        <v>17</v>
      </c>
      <c r="E89" s="15">
        <v>3.49</v>
      </c>
      <c r="F89" s="16">
        <v>630.37</v>
      </c>
      <c r="G89" t="s">
        <v>52</v>
      </c>
      <c r="H89" t="s">
        <v>33</v>
      </c>
      <c r="I89" t="s">
        <v>53</v>
      </c>
      <c r="J89" t="s">
        <v>16</v>
      </c>
      <c r="K89" s="17">
        <f t="shared" si="2"/>
        <v>2199.9913</v>
      </c>
      <c r="L89" t="str">
        <f t="shared" si="3"/>
        <v>Thursday</v>
      </c>
    </row>
    <row r="90" spans="1:12">
      <c r="A90">
        <v>10548</v>
      </c>
      <c r="B90" s="14">
        <v>44891</v>
      </c>
      <c r="C90" s="14" t="str">
        <f>TEXT(Table1[[#This Row],[Date]],"mmmm")</f>
        <v>November</v>
      </c>
      <c r="D90" t="s">
        <v>10</v>
      </c>
      <c r="E90" s="15">
        <v>2.95</v>
      </c>
      <c r="F90" s="16">
        <v>745.76</v>
      </c>
      <c r="G90" t="s">
        <v>52</v>
      </c>
      <c r="H90" t="s">
        <v>33</v>
      </c>
      <c r="I90" t="s">
        <v>53</v>
      </c>
      <c r="J90" t="s">
        <v>16</v>
      </c>
      <c r="K90" s="17">
        <f t="shared" si="2"/>
        <v>2199.992</v>
      </c>
      <c r="L90" t="str">
        <f t="shared" si="3"/>
        <v>Friday</v>
      </c>
    </row>
    <row r="91" spans="1:12">
      <c r="A91">
        <v>10549</v>
      </c>
      <c r="B91" s="14">
        <v>44891</v>
      </c>
      <c r="C91" s="14" t="str">
        <f>TEXT(Table1[[#This Row],[Date]],"mmmm")</f>
        <v>November</v>
      </c>
      <c r="D91" t="s">
        <v>7</v>
      </c>
      <c r="E91" s="15">
        <v>4.99</v>
      </c>
      <c r="F91" s="16">
        <v>200.4</v>
      </c>
      <c r="G91" t="s">
        <v>52</v>
      </c>
      <c r="H91" t="s">
        <v>33</v>
      </c>
      <c r="I91" t="s">
        <v>53</v>
      </c>
      <c r="J91" t="s">
        <v>16</v>
      </c>
      <c r="K91" s="17">
        <f t="shared" si="2"/>
        <v>999.996</v>
      </c>
      <c r="L91" t="str">
        <f t="shared" si="3"/>
        <v>Saturday</v>
      </c>
    </row>
    <row r="92" spans="1:12">
      <c r="A92">
        <v>10550</v>
      </c>
      <c r="B92" s="14">
        <v>44892</v>
      </c>
      <c r="C92" s="14" t="str">
        <f>TEXT(Table1[[#This Row],[Date]],"mmmm")</f>
        <v>November</v>
      </c>
      <c r="D92" t="s">
        <v>20</v>
      </c>
      <c r="E92" s="15">
        <v>12.99</v>
      </c>
      <c r="F92" s="16">
        <v>461.89</v>
      </c>
      <c r="G92" t="s">
        <v>52</v>
      </c>
      <c r="H92" t="s">
        <v>33</v>
      </c>
      <c r="I92" t="s">
        <v>53</v>
      </c>
      <c r="J92" t="s">
        <v>16</v>
      </c>
      <c r="K92" s="17">
        <f t="shared" si="2"/>
        <v>5999.9511</v>
      </c>
      <c r="L92" t="str">
        <f t="shared" si="3"/>
        <v>Sunday</v>
      </c>
    </row>
    <row r="93" spans="1:12">
      <c r="A93">
        <v>10551</v>
      </c>
      <c r="B93" s="14">
        <v>44892</v>
      </c>
      <c r="C93" s="14" t="str">
        <f>TEXT(Table1[[#This Row],[Date]],"mmmm")</f>
        <v>November</v>
      </c>
      <c r="D93" t="s">
        <v>13</v>
      </c>
      <c r="E93" s="15">
        <v>9.95</v>
      </c>
      <c r="F93" s="16">
        <v>201.01</v>
      </c>
      <c r="G93" t="s">
        <v>52</v>
      </c>
      <c r="H93" t="s">
        <v>33</v>
      </c>
      <c r="I93" t="s">
        <v>53</v>
      </c>
      <c r="J93" t="s">
        <v>16</v>
      </c>
      <c r="K93" s="17">
        <f t="shared" si="2"/>
        <v>2000.0495</v>
      </c>
      <c r="L93" t="str">
        <f t="shared" si="3"/>
        <v>Monday</v>
      </c>
    </row>
    <row r="94" spans="1:12">
      <c r="A94">
        <v>10552</v>
      </c>
      <c r="B94" s="14">
        <v>44892</v>
      </c>
      <c r="C94" s="14" t="str">
        <f>TEXT(Table1[[#This Row],[Date]],"mmmm")</f>
        <v>November</v>
      </c>
      <c r="D94" t="s">
        <v>17</v>
      </c>
      <c r="E94" s="15">
        <v>3.49</v>
      </c>
      <c r="F94" s="16">
        <v>630.37</v>
      </c>
      <c r="G94" t="s">
        <v>58</v>
      </c>
      <c r="H94" t="s">
        <v>33</v>
      </c>
      <c r="I94" t="s">
        <v>53</v>
      </c>
      <c r="J94" t="s">
        <v>16</v>
      </c>
      <c r="K94" s="17">
        <f t="shared" si="2"/>
        <v>2199.9913</v>
      </c>
      <c r="L94" t="str">
        <f t="shared" si="3"/>
        <v>Tuesday</v>
      </c>
    </row>
    <row r="95" spans="1:12">
      <c r="A95">
        <v>10553</v>
      </c>
      <c r="B95" s="14">
        <v>44892</v>
      </c>
      <c r="C95" s="14" t="str">
        <f>TEXT(Table1[[#This Row],[Date]],"mmmm")</f>
        <v>November</v>
      </c>
      <c r="D95" t="s">
        <v>10</v>
      </c>
      <c r="E95" s="15">
        <v>2.95</v>
      </c>
      <c r="F95" s="16">
        <v>745.76</v>
      </c>
      <c r="G95" t="s">
        <v>58</v>
      </c>
      <c r="H95" t="s">
        <v>33</v>
      </c>
      <c r="I95" t="s">
        <v>53</v>
      </c>
      <c r="J95" t="s">
        <v>16</v>
      </c>
      <c r="K95" s="17">
        <f t="shared" si="2"/>
        <v>2199.992</v>
      </c>
      <c r="L95" t="str">
        <f t="shared" si="3"/>
        <v>Wednesday</v>
      </c>
    </row>
    <row r="96" spans="1:12">
      <c r="A96">
        <v>10554</v>
      </c>
      <c r="B96" s="14">
        <v>44892</v>
      </c>
      <c r="C96" s="14" t="str">
        <f>TEXT(Table1[[#This Row],[Date]],"mmmm")</f>
        <v>November</v>
      </c>
      <c r="D96" t="s">
        <v>7</v>
      </c>
      <c r="E96" s="15">
        <v>4.99</v>
      </c>
      <c r="F96" s="16">
        <v>200.4</v>
      </c>
      <c r="G96" t="s">
        <v>58</v>
      </c>
      <c r="H96" t="s">
        <v>33</v>
      </c>
      <c r="I96" t="s">
        <v>53</v>
      </c>
      <c r="J96" t="s">
        <v>16</v>
      </c>
      <c r="K96" s="17">
        <f t="shared" si="2"/>
        <v>999.996</v>
      </c>
      <c r="L96" t="str">
        <f t="shared" si="3"/>
        <v>Thursday</v>
      </c>
    </row>
    <row r="97" spans="1:12">
      <c r="A97">
        <v>10555</v>
      </c>
      <c r="B97" s="14">
        <v>44893</v>
      </c>
      <c r="C97" s="14" t="str">
        <f>TEXT(Table1[[#This Row],[Date]],"mmmm")</f>
        <v>November</v>
      </c>
      <c r="D97" t="s">
        <v>20</v>
      </c>
      <c r="E97" s="15">
        <v>12.99</v>
      </c>
      <c r="F97" s="16">
        <v>477.29</v>
      </c>
      <c r="G97" t="s">
        <v>58</v>
      </c>
      <c r="H97" t="s">
        <v>33</v>
      </c>
      <c r="I97" t="s">
        <v>53</v>
      </c>
      <c r="J97" t="s">
        <v>16</v>
      </c>
      <c r="K97" s="17">
        <f t="shared" si="2"/>
        <v>6199.9971</v>
      </c>
      <c r="L97" t="str">
        <f t="shared" si="3"/>
        <v>Friday</v>
      </c>
    </row>
    <row r="98" spans="1:12">
      <c r="A98">
        <v>10556</v>
      </c>
      <c r="B98" s="14">
        <v>44893</v>
      </c>
      <c r="C98" s="14" t="str">
        <f>TEXT(Table1[[#This Row],[Date]],"mmmm")</f>
        <v>November</v>
      </c>
      <c r="D98" t="s">
        <v>13</v>
      </c>
      <c r="E98" s="15">
        <v>9.95</v>
      </c>
      <c r="F98" s="16">
        <v>201.01</v>
      </c>
      <c r="G98" t="s">
        <v>58</v>
      </c>
      <c r="H98" t="s">
        <v>33</v>
      </c>
      <c r="I98" t="s">
        <v>53</v>
      </c>
      <c r="J98" t="s">
        <v>16</v>
      </c>
      <c r="K98" s="17">
        <f t="shared" si="2"/>
        <v>2000.0495</v>
      </c>
      <c r="L98" t="str">
        <f t="shared" si="3"/>
        <v>Saturday</v>
      </c>
    </row>
    <row r="99" spans="1:12">
      <c r="A99">
        <v>10557</v>
      </c>
      <c r="B99" s="14">
        <v>44893</v>
      </c>
      <c r="C99" s="14" t="str">
        <f>TEXT(Table1[[#This Row],[Date]],"mmmm")</f>
        <v>November</v>
      </c>
      <c r="D99" t="s">
        <v>17</v>
      </c>
      <c r="E99" s="15">
        <v>3.49</v>
      </c>
      <c r="F99" s="16">
        <v>630.37</v>
      </c>
      <c r="G99" t="s">
        <v>58</v>
      </c>
      <c r="H99" t="s">
        <v>33</v>
      </c>
      <c r="I99" t="s">
        <v>53</v>
      </c>
      <c r="J99" t="s">
        <v>16</v>
      </c>
      <c r="K99" s="17">
        <f t="shared" si="2"/>
        <v>2199.9913</v>
      </c>
      <c r="L99" t="str">
        <f t="shared" si="3"/>
        <v>Sunday</v>
      </c>
    </row>
    <row r="100" spans="1:12">
      <c r="A100">
        <v>10558</v>
      </c>
      <c r="B100" s="14">
        <v>44893</v>
      </c>
      <c r="C100" s="14" t="str">
        <f>TEXT(Table1[[#This Row],[Date]],"mmmm")</f>
        <v>November</v>
      </c>
      <c r="D100" t="s">
        <v>10</v>
      </c>
      <c r="E100" s="15">
        <v>2.95</v>
      </c>
      <c r="F100" s="16">
        <v>677.97</v>
      </c>
      <c r="G100" t="s">
        <v>58</v>
      </c>
      <c r="H100" t="s">
        <v>33</v>
      </c>
      <c r="I100" t="s">
        <v>53</v>
      </c>
      <c r="J100" t="s">
        <v>16</v>
      </c>
      <c r="K100" s="17">
        <f t="shared" si="2"/>
        <v>2000.0115</v>
      </c>
      <c r="L100" t="str">
        <f t="shared" si="3"/>
        <v>Monday</v>
      </c>
    </row>
    <row r="101" spans="1:12">
      <c r="A101">
        <v>10559</v>
      </c>
      <c r="B101" s="14">
        <v>44893</v>
      </c>
      <c r="C101" s="14" t="str">
        <f>TEXT(Table1[[#This Row],[Date]],"mmmm")</f>
        <v>November</v>
      </c>
      <c r="D101" t="s">
        <v>7</v>
      </c>
      <c r="E101" s="15">
        <v>4.99</v>
      </c>
      <c r="F101" s="16">
        <v>200.4</v>
      </c>
      <c r="G101" t="s">
        <v>58</v>
      </c>
      <c r="H101" t="s">
        <v>33</v>
      </c>
      <c r="I101" t="s">
        <v>53</v>
      </c>
      <c r="J101" t="s">
        <v>16</v>
      </c>
      <c r="K101" s="17">
        <f t="shared" si="2"/>
        <v>999.996</v>
      </c>
      <c r="L101" t="str">
        <f t="shared" si="3"/>
        <v>Tuesday</v>
      </c>
    </row>
    <row r="102" spans="1:12">
      <c r="A102">
        <v>10560</v>
      </c>
      <c r="B102" s="14">
        <v>44894</v>
      </c>
      <c r="C102" s="14" t="str">
        <f>TEXT(Table1[[#This Row],[Date]],"mmmm")</f>
        <v>November</v>
      </c>
      <c r="D102" t="s">
        <v>20</v>
      </c>
      <c r="E102" s="15">
        <v>12.99</v>
      </c>
      <c r="F102" s="16">
        <v>477.29</v>
      </c>
      <c r="G102" t="s">
        <v>58</v>
      </c>
      <c r="H102" t="s">
        <v>33</v>
      </c>
      <c r="I102" t="s">
        <v>53</v>
      </c>
      <c r="J102" t="s">
        <v>16</v>
      </c>
      <c r="K102" s="17">
        <f t="shared" si="2"/>
        <v>6199.9971</v>
      </c>
      <c r="L102" t="str">
        <f t="shared" si="3"/>
        <v>Wednesday</v>
      </c>
    </row>
    <row r="103" spans="1:12">
      <c r="A103">
        <v>10561</v>
      </c>
      <c r="B103" s="14">
        <v>44894</v>
      </c>
      <c r="C103" s="14" t="str">
        <f>TEXT(Table1[[#This Row],[Date]],"mmmm")</f>
        <v>November</v>
      </c>
      <c r="D103" t="s">
        <v>13</v>
      </c>
      <c r="E103" s="15">
        <v>9.95</v>
      </c>
      <c r="F103" s="16">
        <v>201.01</v>
      </c>
      <c r="G103" t="s">
        <v>58</v>
      </c>
      <c r="H103" t="s">
        <v>33</v>
      </c>
      <c r="I103" t="s">
        <v>53</v>
      </c>
      <c r="J103" t="s">
        <v>16</v>
      </c>
      <c r="K103" s="17">
        <f t="shared" si="2"/>
        <v>2000.0495</v>
      </c>
      <c r="L103" t="str">
        <f t="shared" si="3"/>
        <v>Thursday</v>
      </c>
    </row>
    <row r="104" spans="1:12">
      <c r="A104">
        <v>10562</v>
      </c>
      <c r="B104" s="14">
        <v>44894</v>
      </c>
      <c r="C104" s="14" t="str">
        <f>TEXT(Table1[[#This Row],[Date]],"mmmm")</f>
        <v>November</v>
      </c>
      <c r="D104" t="s">
        <v>17</v>
      </c>
      <c r="E104" s="15">
        <v>3.49</v>
      </c>
      <c r="F104" s="16">
        <v>630.37</v>
      </c>
      <c r="G104" t="s">
        <v>58</v>
      </c>
      <c r="H104" t="s">
        <v>33</v>
      </c>
      <c r="I104" t="s">
        <v>53</v>
      </c>
      <c r="J104" t="s">
        <v>16</v>
      </c>
      <c r="K104" s="17">
        <f t="shared" si="2"/>
        <v>2199.9913</v>
      </c>
      <c r="L104" t="str">
        <f t="shared" si="3"/>
        <v>Friday</v>
      </c>
    </row>
    <row r="105" spans="1:12">
      <c r="A105">
        <v>10563</v>
      </c>
      <c r="B105" s="14">
        <v>44894</v>
      </c>
      <c r="C105" s="14" t="str">
        <f>TEXT(Table1[[#This Row],[Date]],"mmmm")</f>
        <v>November</v>
      </c>
      <c r="D105" t="s">
        <v>10</v>
      </c>
      <c r="E105" s="15">
        <v>2.95</v>
      </c>
      <c r="F105" s="16">
        <v>677.97</v>
      </c>
      <c r="G105" t="s">
        <v>58</v>
      </c>
      <c r="H105" t="s">
        <v>33</v>
      </c>
      <c r="I105" t="s">
        <v>53</v>
      </c>
      <c r="J105" t="s">
        <v>16</v>
      </c>
      <c r="K105" s="17">
        <f t="shared" si="2"/>
        <v>2000.0115</v>
      </c>
      <c r="L105" t="str">
        <f t="shared" si="3"/>
        <v>Saturday</v>
      </c>
    </row>
    <row r="106" spans="1:12">
      <c r="A106">
        <v>10564</v>
      </c>
      <c r="B106" s="14">
        <v>44894</v>
      </c>
      <c r="C106" s="14" t="str">
        <f>TEXT(Table1[[#This Row],[Date]],"mmmm")</f>
        <v>November</v>
      </c>
      <c r="D106" t="s">
        <v>7</v>
      </c>
      <c r="E106" s="15">
        <v>4.99</v>
      </c>
      <c r="F106" s="16">
        <v>200.4</v>
      </c>
      <c r="G106" t="s">
        <v>58</v>
      </c>
      <c r="H106" t="s">
        <v>33</v>
      </c>
      <c r="I106" t="s">
        <v>53</v>
      </c>
      <c r="J106" t="s">
        <v>16</v>
      </c>
      <c r="K106" s="17">
        <f t="shared" si="2"/>
        <v>999.996</v>
      </c>
      <c r="L106" t="str">
        <f t="shared" si="3"/>
        <v>Sunday</v>
      </c>
    </row>
    <row r="107" spans="1:12">
      <c r="A107">
        <v>10565</v>
      </c>
      <c r="B107" s="14">
        <v>44895</v>
      </c>
      <c r="C107" s="14" t="str">
        <f>TEXT(Table1[[#This Row],[Date]],"mmmm")</f>
        <v>November</v>
      </c>
      <c r="D107" t="s">
        <v>20</v>
      </c>
      <c r="E107" s="15">
        <v>12.99</v>
      </c>
      <c r="F107" s="16">
        <v>492.69</v>
      </c>
      <c r="G107" t="s">
        <v>58</v>
      </c>
      <c r="H107" t="s">
        <v>33</v>
      </c>
      <c r="I107" t="s">
        <v>53</v>
      </c>
      <c r="J107" t="s">
        <v>16</v>
      </c>
      <c r="K107" s="17">
        <f t="shared" si="2"/>
        <v>6400.0431</v>
      </c>
      <c r="L107" t="str">
        <f t="shared" si="3"/>
        <v>Monday</v>
      </c>
    </row>
    <row r="108" spans="1:12">
      <c r="A108">
        <v>10566</v>
      </c>
      <c r="B108" s="14">
        <v>44895</v>
      </c>
      <c r="C108" s="14" t="str">
        <f>TEXT(Table1[[#This Row],[Date]],"mmmm")</f>
        <v>November</v>
      </c>
      <c r="D108" t="s">
        <v>13</v>
      </c>
      <c r="E108" s="15">
        <v>9.95</v>
      </c>
      <c r="F108" s="16">
        <v>201.01</v>
      </c>
      <c r="G108" t="s">
        <v>58</v>
      </c>
      <c r="H108" t="s">
        <v>33</v>
      </c>
      <c r="I108" t="s">
        <v>53</v>
      </c>
      <c r="J108" t="s">
        <v>16</v>
      </c>
      <c r="K108" s="17">
        <f t="shared" si="2"/>
        <v>2000.0495</v>
      </c>
      <c r="L108" t="str">
        <f t="shared" si="3"/>
        <v>Tuesday</v>
      </c>
    </row>
    <row r="109" spans="1:12">
      <c r="A109">
        <v>10567</v>
      </c>
      <c r="B109" s="14">
        <v>44895</v>
      </c>
      <c r="C109" s="14" t="str">
        <f>TEXT(Table1[[#This Row],[Date]],"mmmm")</f>
        <v>November</v>
      </c>
      <c r="D109" t="s">
        <v>17</v>
      </c>
      <c r="E109" s="15">
        <v>3.49</v>
      </c>
      <c r="F109" s="16">
        <v>630.37</v>
      </c>
      <c r="G109" t="s">
        <v>58</v>
      </c>
      <c r="H109" t="s">
        <v>33</v>
      </c>
      <c r="I109" t="s">
        <v>53</v>
      </c>
      <c r="J109" t="s">
        <v>16</v>
      </c>
      <c r="K109" s="17">
        <f t="shared" si="2"/>
        <v>2199.9913</v>
      </c>
      <c r="L109" t="str">
        <f t="shared" si="3"/>
        <v>Wednesday</v>
      </c>
    </row>
    <row r="110" spans="1:12">
      <c r="A110">
        <v>10568</v>
      </c>
      <c r="B110" s="14">
        <v>44895</v>
      </c>
      <c r="C110" s="14" t="str">
        <f>TEXT(Table1[[#This Row],[Date]],"mmmm")</f>
        <v>November</v>
      </c>
      <c r="D110" t="s">
        <v>10</v>
      </c>
      <c r="E110" s="15">
        <v>2.95</v>
      </c>
      <c r="F110" s="16">
        <v>677.97</v>
      </c>
      <c r="G110" t="s">
        <v>58</v>
      </c>
      <c r="H110" t="s">
        <v>33</v>
      </c>
      <c r="I110" t="s">
        <v>53</v>
      </c>
      <c r="J110" t="s">
        <v>16</v>
      </c>
      <c r="K110" s="17">
        <f t="shared" si="2"/>
        <v>2000.0115</v>
      </c>
      <c r="L110" t="str">
        <f t="shared" si="3"/>
        <v>Thursday</v>
      </c>
    </row>
    <row r="111" spans="1:12">
      <c r="A111">
        <v>10569</v>
      </c>
      <c r="B111" s="14">
        <v>44895</v>
      </c>
      <c r="C111" s="14" t="str">
        <f>TEXT(Table1[[#This Row],[Date]],"mmmm")</f>
        <v>November</v>
      </c>
      <c r="D111" t="s">
        <v>7</v>
      </c>
      <c r="E111" s="15">
        <v>4.99</v>
      </c>
      <c r="F111" s="16">
        <v>200.4</v>
      </c>
      <c r="G111" t="s">
        <v>58</v>
      </c>
      <c r="H111" t="s">
        <v>33</v>
      </c>
      <c r="I111" t="s">
        <v>53</v>
      </c>
      <c r="J111" t="s">
        <v>16</v>
      </c>
      <c r="K111" s="17">
        <f t="shared" si="2"/>
        <v>999.996</v>
      </c>
      <c r="L111" t="str">
        <f t="shared" si="3"/>
        <v>Friday</v>
      </c>
    </row>
    <row r="112" spans="1:12">
      <c r="A112">
        <v>10570</v>
      </c>
      <c r="B112" s="14">
        <v>44896</v>
      </c>
      <c r="C112" s="14" t="str">
        <f>TEXT(Table1[[#This Row],[Date]],"mmmm")</f>
        <v>December</v>
      </c>
      <c r="D112" t="s">
        <v>20</v>
      </c>
      <c r="E112" s="15">
        <v>12.99</v>
      </c>
      <c r="F112" s="16">
        <v>492.69</v>
      </c>
      <c r="G112" t="s">
        <v>58</v>
      </c>
      <c r="H112" t="s">
        <v>33</v>
      </c>
      <c r="I112" t="s">
        <v>53</v>
      </c>
      <c r="J112" t="s">
        <v>16</v>
      </c>
      <c r="K112" s="17">
        <f t="shared" si="2"/>
        <v>6400.0431</v>
      </c>
      <c r="L112" t="str">
        <f t="shared" si="3"/>
        <v>Saturday</v>
      </c>
    </row>
    <row r="113" spans="1:12">
      <c r="A113">
        <v>10571</v>
      </c>
      <c r="B113" s="14">
        <v>44896</v>
      </c>
      <c r="C113" s="14" t="str">
        <f>TEXT(Table1[[#This Row],[Date]],"mmmm")</f>
        <v>December</v>
      </c>
      <c r="D113" t="s">
        <v>13</v>
      </c>
      <c r="E113" s="15">
        <v>9.95</v>
      </c>
      <c r="F113" s="16">
        <v>201.01</v>
      </c>
      <c r="G113" t="s">
        <v>58</v>
      </c>
      <c r="H113" t="s">
        <v>33</v>
      </c>
      <c r="I113" t="s">
        <v>53</v>
      </c>
      <c r="J113" t="s">
        <v>16</v>
      </c>
      <c r="K113" s="17">
        <f t="shared" si="2"/>
        <v>2000.0495</v>
      </c>
      <c r="L113" t="str">
        <f t="shared" si="3"/>
        <v>Sunday</v>
      </c>
    </row>
    <row r="114" spans="1:12">
      <c r="A114">
        <v>10572</v>
      </c>
      <c r="B114" s="14">
        <v>44896</v>
      </c>
      <c r="C114" s="14" t="str">
        <f>TEXT(Table1[[#This Row],[Date]],"mmmm")</f>
        <v>December</v>
      </c>
      <c r="D114" t="s">
        <v>17</v>
      </c>
      <c r="E114" s="15">
        <v>3.49</v>
      </c>
      <c r="F114" s="16">
        <v>573.07</v>
      </c>
      <c r="G114" t="s">
        <v>58</v>
      </c>
      <c r="H114" t="s">
        <v>33</v>
      </c>
      <c r="I114" t="s">
        <v>50</v>
      </c>
      <c r="J114" t="s">
        <v>6</v>
      </c>
      <c r="K114" s="17">
        <f t="shared" si="2"/>
        <v>2000.0143</v>
      </c>
      <c r="L114" t="str">
        <f t="shared" si="3"/>
        <v>Monday</v>
      </c>
    </row>
    <row r="115" spans="1:12">
      <c r="A115">
        <v>10573</v>
      </c>
      <c r="B115" s="14">
        <v>44896</v>
      </c>
      <c r="C115" s="14" t="str">
        <f>TEXT(Table1[[#This Row],[Date]],"mmmm")</f>
        <v>December</v>
      </c>
      <c r="D115" t="s">
        <v>10</v>
      </c>
      <c r="E115" s="15">
        <v>2.95</v>
      </c>
      <c r="F115" s="16">
        <v>677.97</v>
      </c>
      <c r="G115" t="s">
        <v>58</v>
      </c>
      <c r="H115" t="s">
        <v>33</v>
      </c>
      <c r="I115" t="s">
        <v>50</v>
      </c>
      <c r="J115" t="s">
        <v>6</v>
      </c>
      <c r="K115" s="17">
        <f t="shared" si="2"/>
        <v>2000.0115</v>
      </c>
      <c r="L115" t="str">
        <f t="shared" si="3"/>
        <v>Tuesday</v>
      </c>
    </row>
    <row r="116" spans="1:12">
      <c r="A116">
        <v>10574</v>
      </c>
      <c r="B116" s="14">
        <v>44896</v>
      </c>
      <c r="C116" s="14" t="str">
        <f>TEXT(Table1[[#This Row],[Date]],"mmmm")</f>
        <v>December</v>
      </c>
      <c r="D116" t="s">
        <v>7</v>
      </c>
      <c r="E116" s="15">
        <v>4.99</v>
      </c>
      <c r="F116" s="16">
        <v>200.4</v>
      </c>
      <c r="G116" t="s">
        <v>58</v>
      </c>
      <c r="H116" t="s">
        <v>33</v>
      </c>
      <c r="I116" t="s">
        <v>50</v>
      </c>
      <c r="J116" t="s">
        <v>6</v>
      </c>
      <c r="K116" s="17">
        <f t="shared" si="2"/>
        <v>999.996</v>
      </c>
      <c r="L116" t="str">
        <f t="shared" si="3"/>
        <v>Wednesday</v>
      </c>
    </row>
    <row r="117" spans="1:12">
      <c r="A117">
        <v>10575</v>
      </c>
      <c r="B117" s="14">
        <v>44897</v>
      </c>
      <c r="C117" s="14" t="str">
        <f>TEXT(Table1[[#This Row],[Date]],"mmmm")</f>
        <v>December</v>
      </c>
      <c r="D117" t="s">
        <v>20</v>
      </c>
      <c r="E117" s="15">
        <v>12.99</v>
      </c>
      <c r="F117" s="16">
        <v>523.48</v>
      </c>
      <c r="G117" t="s">
        <v>58</v>
      </c>
      <c r="H117" t="s">
        <v>33</v>
      </c>
      <c r="I117" t="s">
        <v>50</v>
      </c>
      <c r="J117" t="s">
        <v>6</v>
      </c>
      <c r="K117" s="17">
        <f t="shared" si="2"/>
        <v>6800.0052</v>
      </c>
      <c r="L117" t="str">
        <f t="shared" si="3"/>
        <v>Thursday</v>
      </c>
    </row>
    <row r="118" spans="1:12">
      <c r="A118">
        <v>10576</v>
      </c>
      <c r="B118" s="14">
        <v>44897</v>
      </c>
      <c r="C118" s="14" t="str">
        <f>TEXT(Table1[[#This Row],[Date]],"mmmm")</f>
        <v>December</v>
      </c>
      <c r="D118" t="s">
        <v>13</v>
      </c>
      <c r="E118" s="15">
        <v>9.95</v>
      </c>
      <c r="F118" s="16">
        <v>201.01</v>
      </c>
      <c r="G118" t="s">
        <v>58</v>
      </c>
      <c r="H118" t="s">
        <v>33</v>
      </c>
      <c r="I118" t="s">
        <v>50</v>
      </c>
      <c r="J118" t="s">
        <v>6</v>
      </c>
      <c r="K118" s="17">
        <f t="shared" si="2"/>
        <v>2000.0495</v>
      </c>
      <c r="L118" t="str">
        <f t="shared" si="3"/>
        <v>Friday</v>
      </c>
    </row>
    <row r="119" spans="1:12">
      <c r="A119">
        <v>10577</v>
      </c>
      <c r="B119" s="14">
        <v>44897</v>
      </c>
      <c r="C119" s="14" t="str">
        <f>TEXT(Table1[[#This Row],[Date]],"mmmm")</f>
        <v>December</v>
      </c>
      <c r="D119" t="s">
        <v>17</v>
      </c>
      <c r="E119" s="15">
        <v>3.49</v>
      </c>
      <c r="F119" s="16">
        <v>630.37</v>
      </c>
      <c r="G119" t="s">
        <v>58</v>
      </c>
      <c r="H119" t="s">
        <v>33</v>
      </c>
      <c r="I119" t="s">
        <v>50</v>
      </c>
      <c r="J119" t="s">
        <v>6</v>
      </c>
      <c r="K119" s="17">
        <f t="shared" si="2"/>
        <v>2199.9913</v>
      </c>
      <c r="L119" t="str">
        <f t="shared" si="3"/>
        <v>Saturday</v>
      </c>
    </row>
    <row r="120" spans="1:12">
      <c r="A120">
        <v>10578</v>
      </c>
      <c r="B120" s="14">
        <v>44897</v>
      </c>
      <c r="C120" s="14" t="str">
        <f>TEXT(Table1[[#This Row],[Date]],"mmmm")</f>
        <v>December</v>
      </c>
      <c r="D120" t="s">
        <v>10</v>
      </c>
      <c r="E120" s="15">
        <v>2.95</v>
      </c>
      <c r="F120" s="16">
        <v>677.97</v>
      </c>
      <c r="G120" t="s">
        <v>58</v>
      </c>
      <c r="H120" t="s">
        <v>33</v>
      </c>
      <c r="I120" t="s">
        <v>50</v>
      </c>
      <c r="J120" t="s">
        <v>6</v>
      </c>
      <c r="K120" s="17">
        <f t="shared" si="2"/>
        <v>2000.0115</v>
      </c>
      <c r="L120" t="str">
        <f t="shared" si="3"/>
        <v>Sunday</v>
      </c>
    </row>
    <row r="121" spans="1:12">
      <c r="A121">
        <v>10579</v>
      </c>
      <c r="B121" s="14">
        <v>44897</v>
      </c>
      <c r="C121" s="14" t="str">
        <f>TEXT(Table1[[#This Row],[Date]],"mmmm")</f>
        <v>December</v>
      </c>
      <c r="D121" t="s">
        <v>7</v>
      </c>
      <c r="E121" s="15">
        <v>4.99</v>
      </c>
      <c r="F121" s="16">
        <v>200.4</v>
      </c>
      <c r="G121" t="s">
        <v>58</v>
      </c>
      <c r="H121" t="s">
        <v>33</v>
      </c>
      <c r="I121" t="s">
        <v>50</v>
      </c>
      <c r="J121" t="s">
        <v>6</v>
      </c>
      <c r="K121" s="17">
        <f t="shared" si="2"/>
        <v>999.996</v>
      </c>
      <c r="L121" t="str">
        <f t="shared" si="3"/>
        <v>Monday</v>
      </c>
    </row>
    <row r="122" spans="1:12">
      <c r="A122">
        <v>10580</v>
      </c>
      <c r="B122" s="14">
        <v>44898</v>
      </c>
      <c r="C122" s="14" t="str">
        <f>TEXT(Table1[[#This Row],[Date]],"mmmm")</f>
        <v>December</v>
      </c>
      <c r="D122" t="s">
        <v>20</v>
      </c>
      <c r="E122" s="15">
        <v>12.99</v>
      </c>
      <c r="F122" s="16">
        <v>523.48</v>
      </c>
      <c r="G122" t="s">
        <v>58</v>
      </c>
      <c r="H122" t="s">
        <v>33</v>
      </c>
      <c r="I122" t="s">
        <v>50</v>
      </c>
      <c r="J122" t="s">
        <v>6</v>
      </c>
      <c r="K122" s="17">
        <f t="shared" si="2"/>
        <v>6800.0052</v>
      </c>
      <c r="L122" t="str">
        <f t="shared" si="3"/>
        <v>Tuesday</v>
      </c>
    </row>
    <row r="123" spans="1:12">
      <c r="A123">
        <v>10581</v>
      </c>
      <c r="B123" s="14">
        <v>44898</v>
      </c>
      <c r="C123" s="14" t="str">
        <f>TEXT(Table1[[#This Row],[Date]],"mmmm")</f>
        <v>December</v>
      </c>
      <c r="D123" t="s">
        <v>13</v>
      </c>
      <c r="E123" s="15">
        <v>9.95</v>
      </c>
      <c r="F123" s="16">
        <v>201.01</v>
      </c>
      <c r="G123" t="s">
        <v>58</v>
      </c>
      <c r="H123" t="s">
        <v>33</v>
      </c>
      <c r="I123" t="s">
        <v>50</v>
      </c>
      <c r="J123" t="s">
        <v>6</v>
      </c>
      <c r="K123" s="17">
        <f t="shared" si="2"/>
        <v>2000.0495</v>
      </c>
      <c r="L123" t="str">
        <f t="shared" si="3"/>
        <v>Wednesday</v>
      </c>
    </row>
    <row r="124" spans="1:12">
      <c r="A124">
        <v>10582</v>
      </c>
      <c r="B124" s="14">
        <v>44898</v>
      </c>
      <c r="C124" s="14" t="str">
        <f>TEXT(Table1[[#This Row],[Date]],"mmmm")</f>
        <v>December</v>
      </c>
      <c r="D124" t="s">
        <v>17</v>
      </c>
      <c r="E124" s="15">
        <v>3.49</v>
      </c>
      <c r="F124" s="16">
        <v>630.37</v>
      </c>
      <c r="G124" t="s">
        <v>58</v>
      </c>
      <c r="H124" t="s">
        <v>33</v>
      </c>
      <c r="I124" t="s">
        <v>53</v>
      </c>
      <c r="J124" t="s">
        <v>16</v>
      </c>
      <c r="K124" s="17">
        <f t="shared" si="2"/>
        <v>2199.9913</v>
      </c>
      <c r="L124" t="str">
        <f t="shared" si="3"/>
        <v>Thursday</v>
      </c>
    </row>
    <row r="125" spans="1:12">
      <c r="A125">
        <v>10583</v>
      </c>
      <c r="B125" s="14">
        <v>44898</v>
      </c>
      <c r="C125" s="14" t="str">
        <f>TEXT(Table1[[#This Row],[Date]],"mmmm")</f>
        <v>December</v>
      </c>
      <c r="D125" t="s">
        <v>10</v>
      </c>
      <c r="E125" s="15">
        <v>2.95</v>
      </c>
      <c r="F125" s="16">
        <v>677.97</v>
      </c>
      <c r="G125" t="s">
        <v>58</v>
      </c>
      <c r="H125" t="s">
        <v>33</v>
      </c>
      <c r="I125" t="s">
        <v>53</v>
      </c>
      <c r="J125" t="s">
        <v>16</v>
      </c>
      <c r="K125" s="17">
        <f t="shared" si="2"/>
        <v>2000.0115</v>
      </c>
      <c r="L125" t="str">
        <f t="shared" si="3"/>
        <v>Friday</v>
      </c>
    </row>
    <row r="126" spans="1:12">
      <c r="A126">
        <v>10584</v>
      </c>
      <c r="B126" s="14">
        <v>44898</v>
      </c>
      <c r="C126" s="14" t="str">
        <f>TEXT(Table1[[#This Row],[Date]],"mmmm")</f>
        <v>December</v>
      </c>
      <c r="D126" t="s">
        <v>7</v>
      </c>
      <c r="E126" s="15">
        <v>4.99</v>
      </c>
      <c r="F126" s="16">
        <v>200.4</v>
      </c>
      <c r="G126" t="s">
        <v>58</v>
      </c>
      <c r="H126" t="s">
        <v>33</v>
      </c>
      <c r="I126" t="s">
        <v>53</v>
      </c>
      <c r="J126" t="s">
        <v>16</v>
      </c>
      <c r="K126" s="17">
        <f t="shared" si="2"/>
        <v>999.996</v>
      </c>
      <c r="L126" t="str">
        <f t="shared" si="3"/>
        <v>Saturday</v>
      </c>
    </row>
    <row r="127" spans="1:12">
      <c r="A127">
        <v>10585</v>
      </c>
      <c r="B127" s="14">
        <v>44899</v>
      </c>
      <c r="C127" s="14" t="str">
        <f>TEXT(Table1[[#This Row],[Date]],"mmmm")</f>
        <v>December</v>
      </c>
      <c r="D127" t="s">
        <v>20</v>
      </c>
      <c r="E127" s="15">
        <v>12.99</v>
      </c>
      <c r="F127" s="16">
        <v>538.88</v>
      </c>
      <c r="G127" t="s">
        <v>58</v>
      </c>
      <c r="H127" t="s">
        <v>33</v>
      </c>
      <c r="I127" t="s">
        <v>53</v>
      </c>
      <c r="J127" t="s">
        <v>16</v>
      </c>
      <c r="K127" s="17">
        <f t="shared" si="2"/>
        <v>7000.0512</v>
      </c>
      <c r="L127" t="str">
        <f t="shared" si="3"/>
        <v>Sunday</v>
      </c>
    </row>
    <row r="128" spans="1:12">
      <c r="A128">
        <v>10586</v>
      </c>
      <c r="B128" s="14">
        <v>44899</v>
      </c>
      <c r="C128" s="14" t="str">
        <f>TEXT(Table1[[#This Row],[Date]],"mmmm")</f>
        <v>December</v>
      </c>
      <c r="D128" t="s">
        <v>13</v>
      </c>
      <c r="E128" s="15">
        <v>9.95</v>
      </c>
      <c r="F128" s="16">
        <v>201.01</v>
      </c>
      <c r="G128" t="s">
        <v>58</v>
      </c>
      <c r="H128" t="s">
        <v>33</v>
      </c>
      <c r="I128" t="s">
        <v>53</v>
      </c>
      <c r="J128" t="s">
        <v>16</v>
      </c>
      <c r="K128" s="17">
        <f t="shared" si="2"/>
        <v>2000.0495</v>
      </c>
      <c r="L128" t="str">
        <f t="shared" si="3"/>
        <v>Monday</v>
      </c>
    </row>
    <row r="129" spans="1:12">
      <c r="A129">
        <v>10537</v>
      </c>
      <c r="B129" s="14">
        <v>44889</v>
      </c>
      <c r="C129" s="14" t="str">
        <f>TEXT(Table1[[#This Row],[Date]],"mmmm")</f>
        <v>November</v>
      </c>
      <c r="D129" t="s">
        <v>17</v>
      </c>
      <c r="E129" s="15">
        <v>3.49</v>
      </c>
      <c r="F129" s="16">
        <v>630.37</v>
      </c>
      <c r="G129" t="s">
        <v>52</v>
      </c>
      <c r="H129" t="s">
        <v>33</v>
      </c>
      <c r="I129" t="s">
        <v>48</v>
      </c>
      <c r="J129" t="s">
        <v>12</v>
      </c>
      <c r="K129" s="17">
        <f t="shared" si="2"/>
        <v>2199.9913</v>
      </c>
      <c r="L129" t="str">
        <f t="shared" si="3"/>
        <v>Monday</v>
      </c>
    </row>
    <row r="130" spans="1:12">
      <c r="A130">
        <v>10538</v>
      </c>
      <c r="B130" s="14">
        <v>44889</v>
      </c>
      <c r="C130" s="14" t="str">
        <f>TEXT(Table1[[#This Row],[Date]],"mmmm")</f>
        <v>November</v>
      </c>
      <c r="D130" t="s">
        <v>10</v>
      </c>
      <c r="E130" s="15">
        <v>2.95</v>
      </c>
      <c r="F130" s="16">
        <v>745.76</v>
      </c>
      <c r="G130" t="s">
        <v>52</v>
      </c>
      <c r="H130" t="s">
        <v>33</v>
      </c>
      <c r="I130" t="s">
        <v>48</v>
      </c>
      <c r="J130" t="s">
        <v>12</v>
      </c>
      <c r="K130" s="17">
        <f t="shared" ref="K130:K193" si="4">E130*F130</f>
        <v>2199.992</v>
      </c>
      <c r="L130" t="str">
        <f t="shared" ref="L130:L193" si="5">TEXT(A130,"dddd")</f>
        <v>Tuesday</v>
      </c>
    </row>
    <row r="131" spans="1:12">
      <c r="A131">
        <v>10539</v>
      </c>
      <c r="B131" s="14">
        <v>44889</v>
      </c>
      <c r="C131" s="14" t="str">
        <f>TEXT(Table1[[#This Row],[Date]],"mmmm")</f>
        <v>November</v>
      </c>
      <c r="D131" t="s">
        <v>7</v>
      </c>
      <c r="E131" s="15">
        <v>4.99</v>
      </c>
      <c r="F131" s="16">
        <v>200.4</v>
      </c>
      <c r="G131" t="s">
        <v>52</v>
      </c>
      <c r="H131" t="s">
        <v>33</v>
      </c>
      <c r="I131" t="s">
        <v>48</v>
      </c>
      <c r="J131" t="s">
        <v>12</v>
      </c>
      <c r="K131" s="17">
        <f t="shared" si="4"/>
        <v>999.996</v>
      </c>
      <c r="L131" t="str">
        <f t="shared" si="5"/>
        <v>Wednesday</v>
      </c>
    </row>
    <row r="132" spans="1:12">
      <c r="A132">
        <v>10590</v>
      </c>
      <c r="B132" s="14">
        <v>44900</v>
      </c>
      <c r="C132" s="14" t="str">
        <f>TEXT(Table1[[#This Row],[Date]],"mmmm")</f>
        <v>December</v>
      </c>
      <c r="D132" t="s">
        <v>20</v>
      </c>
      <c r="E132" s="15">
        <v>12.99</v>
      </c>
      <c r="F132" s="16">
        <v>554.27</v>
      </c>
      <c r="G132" t="s">
        <v>58</v>
      </c>
      <c r="H132" t="s">
        <v>33</v>
      </c>
      <c r="I132" t="s">
        <v>53</v>
      </c>
      <c r="J132" t="s">
        <v>16</v>
      </c>
      <c r="K132" s="17">
        <f t="shared" si="4"/>
        <v>7199.9673</v>
      </c>
      <c r="L132" t="str">
        <f t="shared" si="5"/>
        <v>Friday</v>
      </c>
    </row>
    <row r="133" spans="1:12">
      <c r="A133">
        <v>10591</v>
      </c>
      <c r="B133" s="14">
        <v>44900</v>
      </c>
      <c r="C133" s="14" t="str">
        <f>TEXT(Table1[[#This Row],[Date]],"mmmm")</f>
        <v>December</v>
      </c>
      <c r="D133" t="s">
        <v>13</v>
      </c>
      <c r="E133" s="15">
        <v>9.95</v>
      </c>
      <c r="F133" s="16">
        <v>201.01</v>
      </c>
      <c r="G133" t="s">
        <v>58</v>
      </c>
      <c r="H133" t="s">
        <v>33</v>
      </c>
      <c r="I133" t="s">
        <v>53</v>
      </c>
      <c r="J133" t="s">
        <v>16</v>
      </c>
      <c r="K133" s="17">
        <f t="shared" si="4"/>
        <v>2000.0495</v>
      </c>
      <c r="L133" t="str">
        <f t="shared" si="5"/>
        <v>Saturday</v>
      </c>
    </row>
    <row r="134" spans="1:12">
      <c r="A134">
        <v>10592</v>
      </c>
      <c r="B134" s="14">
        <v>44900</v>
      </c>
      <c r="C134" s="14" t="str">
        <f>TEXT(Table1[[#This Row],[Date]],"mmmm")</f>
        <v>December</v>
      </c>
      <c r="D134" t="s">
        <v>17</v>
      </c>
      <c r="E134" s="15">
        <v>3.49</v>
      </c>
      <c r="F134" s="16">
        <v>573.07</v>
      </c>
      <c r="G134" t="s">
        <v>58</v>
      </c>
      <c r="H134" t="s">
        <v>33</v>
      </c>
      <c r="I134" t="s">
        <v>53</v>
      </c>
      <c r="J134" t="s">
        <v>16</v>
      </c>
      <c r="K134" s="17">
        <f t="shared" si="4"/>
        <v>2000.0143</v>
      </c>
      <c r="L134" t="str">
        <f t="shared" si="5"/>
        <v>Sunday</v>
      </c>
    </row>
    <row r="135" spans="1:12">
      <c r="A135">
        <v>10593</v>
      </c>
      <c r="B135" s="14">
        <v>44900</v>
      </c>
      <c r="C135" s="14" t="str">
        <f>TEXT(Table1[[#This Row],[Date]],"mmmm")</f>
        <v>December</v>
      </c>
      <c r="D135" t="s">
        <v>10</v>
      </c>
      <c r="E135" s="15">
        <v>2.95</v>
      </c>
      <c r="F135" s="16">
        <v>677.97</v>
      </c>
      <c r="G135" t="s">
        <v>58</v>
      </c>
      <c r="H135" t="s">
        <v>33</v>
      </c>
      <c r="I135" t="s">
        <v>53</v>
      </c>
      <c r="J135" t="s">
        <v>16</v>
      </c>
      <c r="K135" s="17">
        <f t="shared" si="4"/>
        <v>2000.0115</v>
      </c>
      <c r="L135" t="str">
        <f t="shared" si="5"/>
        <v>Monday</v>
      </c>
    </row>
    <row r="136" spans="1:12">
      <c r="A136">
        <v>10594</v>
      </c>
      <c r="B136" s="14">
        <v>44900</v>
      </c>
      <c r="C136" s="14" t="str">
        <f>TEXT(Table1[[#This Row],[Date]],"mmmm")</f>
        <v>December</v>
      </c>
      <c r="D136" t="s">
        <v>7</v>
      </c>
      <c r="E136" s="15">
        <v>4.99</v>
      </c>
      <c r="F136" s="16">
        <v>200.4</v>
      </c>
      <c r="G136" t="s">
        <v>58</v>
      </c>
      <c r="H136" t="s">
        <v>33</v>
      </c>
      <c r="I136" t="s">
        <v>53</v>
      </c>
      <c r="J136" t="s">
        <v>16</v>
      </c>
      <c r="K136" s="17">
        <f t="shared" si="4"/>
        <v>999.996</v>
      </c>
      <c r="L136" t="str">
        <f t="shared" si="5"/>
        <v>Tuesday</v>
      </c>
    </row>
    <row r="137" spans="1:12">
      <c r="A137">
        <v>10595</v>
      </c>
      <c r="B137" s="14">
        <v>44901</v>
      </c>
      <c r="C137" s="14" t="str">
        <f>TEXT(Table1[[#This Row],[Date]],"mmmm")</f>
        <v>December</v>
      </c>
      <c r="D137" t="s">
        <v>20</v>
      </c>
      <c r="E137" s="15">
        <v>12.99</v>
      </c>
      <c r="F137" s="16">
        <v>538.88</v>
      </c>
      <c r="G137" t="s">
        <v>58</v>
      </c>
      <c r="H137" t="s">
        <v>33</v>
      </c>
      <c r="I137" t="s">
        <v>53</v>
      </c>
      <c r="J137" t="s">
        <v>16</v>
      </c>
      <c r="K137" s="17">
        <f t="shared" si="4"/>
        <v>7000.0512</v>
      </c>
      <c r="L137" t="str">
        <f t="shared" si="5"/>
        <v>Wednesday</v>
      </c>
    </row>
    <row r="138" spans="1:12">
      <c r="A138">
        <v>10596</v>
      </c>
      <c r="B138" s="14">
        <v>44901</v>
      </c>
      <c r="C138" s="14" t="str">
        <f>TEXT(Table1[[#This Row],[Date]],"mmmm")</f>
        <v>December</v>
      </c>
      <c r="D138" t="s">
        <v>13</v>
      </c>
      <c r="E138" s="15">
        <v>9.95</v>
      </c>
      <c r="F138" s="16">
        <v>201.01</v>
      </c>
      <c r="G138" t="s">
        <v>58</v>
      </c>
      <c r="H138" t="s">
        <v>33</v>
      </c>
      <c r="I138" t="s">
        <v>53</v>
      </c>
      <c r="J138" t="s">
        <v>16</v>
      </c>
      <c r="K138" s="17">
        <f t="shared" si="4"/>
        <v>2000.0495</v>
      </c>
      <c r="L138" t="str">
        <f t="shared" si="5"/>
        <v>Thursday</v>
      </c>
    </row>
    <row r="139" spans="1:12">
      <c r="A139">
        <v>10597</v>
      </c>
      <c r="B139" s="14">
        <v>44901</v>
      </c>
      <c r="C139" s="14" t="str">
        <f>TEXT(Table1[[#This Row],[Date]],"mmmm")</f>
        <v>December</v>
      </c>
      <c r="D139" t="s">
        <v>17</v>
      </c>
      <c r="E139" s="15">
        <v>3.49</v>
      </c>
      <c r="F139" s="16">
        <v>573.07</v>
      </c>
      <c r="G139" t="s">
        <v>58</v>
      </c>
      <c r="H139" t="s">
        <v>33</v>
      </c>
      <c r="I139" t="s">
        <v>53</v>
      </c>
      <c r="J139" t="s">
        <v>16</v>
      </c>
      <c r="K139" s="17">
        <f t="shared" si="4"/>
        <v>2000.0143</v>
      </c>
      <c r="L139" t="str">
        <f t="shared" si="5"/>
        <v>Friday</v>
      </c>
    </row>
    <row r="140" spans="1:12">
      <c r="A140">
        <v>10598</v>
      </c>
      <c r="B140" s="14">
        <v>44901</v>
      </c>
      <c r="C140" s="14" t="str">
        <f>TEXT(Table1[[#This Row],[Date]],"mmmm")</f>
        <v>December</v>
      </c>
      <c r="D140" t="s">
        <v>10</v>
      </c>
      <c r="E140" s="15">
        <v>2.95</v>
      </c>
      <c r="F140" s="16">
        <v>677.97</v>
      </c>
      <c r="G140" t="s">
        <v>58</v>
      </c>
      <c r="H140" t="s">
        <v>33</v>
      </c>
      <c r="I140" t="s">
        <v>53</v>
      </c>
      <c r="J140" t="s">
        <v>16</v>
      </c>
      <c r="K140" s="17">
        <f t="shared" si="4"/>
        <v>2000.0115</v>
      </c>
      <c r="L140" t="str">
        <f t="shared" si="5"/>
        <v>Saturday</v>
      </c>
    </row>
    <row r="141" spans="1:12">
      <c r="A141">
        <v>10599</v>
      </c>
      <c r="B141" s="14">
        <v>44901</v>
      </c>
      <c r="C141" s="14" t="str">
        <f>TEXT(Table1[[#This Row],[Date]],"mmmm")</f>
        <v>December</v>
      </c>
      <c r="D141" t="s">
        <v>7</v>
      </c>
      <c r="E141" s="15">
        <v>4.99</v>
      </c>
      <c r="F141" s="16">
        <v>200.4</v>
      </c>
      <c r="G141" t="s">
        <v>58</v>
      </c>
      <c r="H141" t="s">
        <v>33</v>
      </c>
      <c r="I141" t="s">
        <v>53</v>
      </c>
      <c r="J141" t="s">
        <v>16</v>
      </c>
      <c r="K141" s="17">
        <f t="shared" si="4"/>
        <v>999.996</v>
      </c>
      <c r="L141" t="str">
        <f t="shared" si="5"/>
        <v>Sunday</v>
      </c>
    </row>
    <row r="142" spans="1:12">
      <c r="A142">
        <v>10600</v>
      </c>
      <c r="B142" s="14">
        <v>44902</v>
      </c>
      <c r="C142" s="14" t="str">
        <f>TEXT(Table1[[#This Row],[Date]],"mmmm")</f>
        <v>December</v>
      </c>
      <c r="D142" t="s">
        <v>20</v>
      </c>
      <c r="E142" s="15">
        <v>12.99</v>
      </c>
      <c r="F142" s="16">
        <v>523.48</v>
      </c>
      <c r="G142" t="s">
        <v>58</v>
      </c>
      <c r="H142" t="s">
        <v>33</v>
      </c>
      <c r="I142" t="s">
        <v>53</v>
      </c>
      <c r="J142" t="s">
        <v>16</v>
      </c>
      <c r="K142" s="17">
        <f t="shared" si="4"/>
        <v>6800.0052</v>
      </c>
      <c r="L142" t="str">
        <f t="shared" si="5"/>
        <v>Monday</v>
      </c>
    </row>
    <row r="143" spans="1:12">
      <c r="A143">
        <v>10601</v>
      </c>
      <c r="B143" s="14">
        <v>44902</v>
      </c>
      <c r="C143" s="14" t="str">
        <f>TEXT(Table1[[#This Row],[Date]],"mmmm")</f>
        <v>December</v>
      </c>
      <c r="D143" t="s">
        <v>13</v>
      </c>
      <c r="E143" s="15">
        <v>9.95</v>
      </c>
      <c r="F143" s="16">
        <v>201.01</v>
      </c>
      <c r="G143" t="s">
        <v>58</v>
      </c>
      <c r="H143" t="s">
        <v>33</v>
      </c>
      <c r="I143" t="s">
        <v>53</v>
      </c>
      <c r="J143" t="s">
        <v>16</v>
      </c>
      <c r="K143" s="17">
        <f t="shared" si="4"/>
        <v>2000.0495</v>
      </c>
      <c r="L143" t="str">
        <f t="shared" si="5"/>
        <v>Tuesday</v>
      </c>
    </row>
    <row r="144" spans="1:12">
      <c r="A144">
        <v>10602</v>
      </c>
      <c r="B144" s="14">
        <v>44902</v>
      </c>
      <c r="C144" s="14" t="str">
        <f>TEXT(Table1[[#This Row],[Date]],"mmmm")</f>
        <v>December</v>
      </c>
      <c r="D144" t="s">
        <v>17</v>
      </c>
      <c r="E144" s="15">
        <v>3.49</v>
      </c>
      <c r="F144" s="16">
        <v>630.37</v>
      </c>
      <c r="G144" t="s">
        <v>58</v>
      </c>
      <c r="H144" t="s">
        <v>30</v>
      </c>
      <c r="I144" t="s">
        <v>53</v>
      </c>
      <c r="J144" t="s">
        <v>16</v>
      </c>
      <c r="K144" s="17">
        <f t="shared" si="4"/>
        <v>2199.9913</v>
      </c>
      <c r="L144" t="str">
        <f t="shared" si="5"/>
        <v>Wednesday</v>
      </c>
    </row>
    <row r="145" spans="1:12">
      <c r="A145">
        <v>10603</v>
      </c>
      <c r="B145" s="14">
        <v>44902</v>
      </c>
      <c r="C145" s="14" t="str">
        <f>TEXT(Table1[[#This Row],[Date]],"mmmm")</f>
        <v>December</v>
      </c>
      <c r="D145" t="s">
        <v>10</v>
      </c>
      <c r="E145" s="15">
        <v>2.95</v>
      </c>
      <c r="F145" s="16">
        <v>677.97</v>
      </c>
      <c r="G145" t="s">
        <v>58</v>
      </c>
      <c r="H145" t="s">
        <v>30</v>
      </c>
      <c r="I145" t="s">
        <v>53</v>
      </c>
      <c r="J145" t="s">
        <v>16</v>
      </c>
      <c r="K145" s="17">
        <f t="shared" si="4"/>
        <v>2000.0115</v>
      </c>
      <c r="L145" t="str">
        <f t="shared" si="5"/>
        <v>Thursday</v>
      </c>
    </row>
    <row r="146" spans="1:12">
      <c r="A146">
        <v>10604</v>
      </c>
      <c r="B146" s="14">
        <v>44902</v>
      </c>
      <c r="C146" s="14" t="str">
        <f>TEXT(Table1[[#This Row],[Date]],"mmmm")</f>
        <v>December</v>
      </c>
      <c r="D146" t="s">
        <v>7</v>
      </c>
      <c r="E146" s="15">
        <v>4.99</v>
      </c>
      <c r="F146" s="16">
        <v>200.4</v>
      </c>
      <c r="G146" t="s">
        <v>58</v>
      </c>
      <c r="H146" t="s">
        <v>30</v>
      </c>
      <c r="I146" t="s">
        <v>53</v>
      </c>
      <c r="J146" t="s">
        <v>16</v>
      </c>
      <c r="K146" s="17">
        <f t="shared" si="4"/>
        <v>999.996</v>
      </c>
      <c r="L146" t="str">
        <f t="shared" si="5"/>
        <v>Friday</v>
      </c>
    </row>
    <row r="147" spans="1:12">
      <c r="A147">
        <v>10605</v>
      </c>
      <c r="B147" s="14">
        <v>44903</v>
      </c>
      <c r="C147" s="14" t="str">
        <f>TEXT(Table1[[#This Row],[Date]],"mmmm")</f>
        <v>December</v>
      </c>
      <c r="D147" t="s">
        <v>20</v>
      </c>
      <c r="E147" s="15">
        <v>12.99</v>
      </c>
      <c r="F147" s="16">
        <v>538.88</v>
      </c>
      <c r="G147" t="s">
        <v>58</v>
      </c>
      <c r="H147" t="s">
        <v>30</v>
      </c>
      <c r="I147" t="s">
        <v>53</v>
      </c>
      <c r="J147" t="s">
        <v>16</v>
      </c>
      <c r="K147" s="17">
        <f t="shared" si="4"/>
        <v>7000.0512</v>
      </c>
      <c r="L147" t="str">
        <f t="shared" si="5"/>
        <v>Saturday</v>
      </c>
    </row>
    <row r="148" spans="1:12">
      <c r="A148">
        <v>10606</v>
      </c>
      <c r="B148" s="14">
        <v>44903</v>
      </c>
      <c r="C148" s="14" t="str">
        <f>TEXT(Table1[[#This Row],[Date]],"mmmm")</f>
        <v>December</v>
      </c>
      <c r="D148" t="s">
        <v>13</v>
      </c>
      <c r="E148" s="15">
        <v>9.95</v>
      </c>
      <c r="F148" s="16">
        <v>201.01</v>
      </c>
      <c r="G148" t="s">
        <v>58</v>
      </c>
      <c r="H148" t="s">
        <v>30</v>
      </c>
      <c r="I148" t="s">
        <v>53</v>
      </c>
      <c r="J148" t="s">
        <v>16</v>
      </c>
      <c r="K148" s="17">
        <f t="shared" si="4"/>
        <v>2000.0495</v>
      </c>
      <c r="L148" t="str">
        <f t="shared" si="5"/>
        <v>Sunday</v>
      </c>
    </row>
    <row r="149" spans="1:12">
      <c r="A149">
        <v>10607</v>
      </c>
      <c r="B149" s="14">
        <v>44903</v>
      </c>
      <c r="C149" s="14" t="str">
        <f>TEXT(Table1[[#This Row],[Date]],"mmmm")</f>
        <v>December</v>
      </c>
      <c r="D149" t="s">
        <v>17</v>
      </c>
      <c r="E149" s="15">
        <v>3.49</v>
      </c>
      <c r="F149" s="16">
        <v>630.37</v>
      </c>
      <c r="G149" t="s">
        <v>58</v>
      </c>
      <c r="H149" t="s">
        <v>30</v>
      </c>
      <c r="I149" t="s">
        <v>53</v>
      </c>
      <c r="J149" t="s">
        <v>16</v>
      </c>
      <c r="K149" s="17">
        <f t="shared" si="4"/>
        <v>2199.9913</v>
      </c>
      <c r="L149" t="str">
        <f t="shared" si="5"/>
        <v>Monday</v>
      </c>
    </row>
    <row r="150" spans="1:12">
      <c r="A150">
        <v>10608</v>
      </c>
      <c r="B150" s="14">
        <v>44903</v>
      </c>
      <c r="C150" s="14" t="str">
        <f>TEXT(Table1[[#This Row],[Date]],"mmmm")</f>
        <v>December</v>
      </c>
      <c r="D150" t="s">
        <v>10</v>
      </c>
      <c r="E150" s="15">
        <v>2.95</v>
      </c>
      <c r="F150" s="16">
        <v>677.97</v>
      </c>
      <c r="G150" t="s">
        <v>58</v>
      </c>
      <c r="H150" t="s">
        <v>35</v>
      </c>
      <c r="I150" t="s">
        <v>53</v>
      </c>
      <c r="J150" t="s">
        <v>16</v>
      </c>
      <c r="K150" s="17">
        <f t="shared" si="4"/>
        <v>2000.0115</v>
      </c>
      <c r="L150" t="str">
        <f t="shared" si="5"/>
        <v>Tuesday</v>
      </c>
    </row>
    <row r="151" spans="1:12">
      <c r="A151">
        <v>10609</v>
      </c>
      <c r="B151" s="14">
        <v>44903</v>
      </c>
      <c r="C151" s="14" t="str">
        <f>TEXT(Table1[[#This Row],[Date]],"mmmm")</f>
        <v>December</v>
      </c>
      <c r="D151" t="s">
        <v>7</v>
      </c>
      <c r="E151" s="15">
        <v>4.99</v>
      </c>
      <c r="F151" s="16">
        <v>200.4</v>
      </c>
      <c r="G151" t="s">
        <v>58</v>
      </c>
      <c r="H151" t="s">
        <v>35</v>
      </c>
      <c r="I151" t="s">
        <v>53</v>
      </c>
      <c r="J151" t="s">
        <v>16</v>
      </c>
      <c r="K151" s="17">
        <f t="shared" si="4"/>
        <v>999.996</v>
      </c>
      <c r="L151" t="str">
        <f t="shared" si="5"/>
        <v>Wednesday</v>
      </c>
    </row>
    <row r="152" spans="1:12">
      <c r="A152">
        <v>10610</v>
      </c>
      <c r="B152" s="14">
        <v>44904</v>
      </c>
      <c r="C152" s="14" t="str">
        <f>TEXT(Table1[[#This Row],[Date]],"mmmm")</f>
        <v>December</v>
      </c>
      <c r="D152" t="s">
        <v>20</v>
      </c>
      <c r="E152" s="15">
        <v>12.99</v>
      </c>
      <c r="F152" s="16">
        <v>569.67</v>
      </c>
      <c r="G152" t="s">
        <v>58</v>
      </c>
      <c r="H152" t="s">
        <v>35</v>
      </c>
      <c r="I152" t="s">
        <v>53</v>
      </c>
      <c r="J152" t="s">
        <v>16</v>
      </c>
      <c r="K152" s="17">
        <f t="shared" si="4"/>
        <v>7400.0133</v>
      </c>
      <c r="L152" t="str">
        <f t="shared" si="5"/>
        <v>Thursday</v>
      </c>
    </row>
    <row r="153" spans="1:12">
      <c r="A153">
        <v>10611</v>
      </c>
      <c r="B153" s="14">
        <v>44904</v>
      </c>
      <c r="C153" s="14" t="str">
        <f>TEXT(Table1[[#This Row],[Date]],"mmmm")</f>
        <v>December</v>
      </c>
      <c r="D153" t="s">
        <v>13</v>
      </c>
      <c r="E153" s="15">
        <v>9.95</v>
      </c>
      <c r="F153" s="16">
        <v>201.01</v>
      </c>
      <c r="G153" t="s">
        <v>58</v>
      </c>
      <c r="H153" t="s">
        <v>35</v>
      </c>
      <c r="I153" t="s">
        <v>53</v>
      </c>
      <c r="J153" t="s">
        <v>16</v>
      </c>
      <c r="K153" s="17">
        <f t="shared" si="4"/>
        <v>2000.0495</v>
      </c>
      <c r="L153" t="str">
        <f t="shared" si="5"/>
        <v>Friday</v>
      </c>
    </row>
    <row r="154" spans="1:12">
      <c r="A154">
        <v>10612</v>
      </c>
      <c r="B154" s="14">
        <v>44904</v>
      </c>
      <c r="C154" s="14" t="str">
        <f>TEXT(Table1[[#This Row],[Date]],"mmmm")</f>
        <v>December</v>
      </c>
      <c r="D154" t="s">
        <v>17</v>
      </c>
      <c r="E154" s="15">
        <v>3.49</v>
      </c>
      <c r="F154" s="16">
        <v>630.37</v>
      </c>
      <c r="G154" t="s">
        <v>58</v>
      </c>
      <c r="H154" t="s">
        <v>35</v>
      </c>
      <c r="I154" t="s">
        <v>53</v>
      </c>
      <c r="J154" t="s">
        <v>16</v>
      </c>
      <c r="K154" s="17">
        <f t="shared" si="4"/>
        <v>2199.9913</v>
      </c>
      <c r="L154" t="str">
        <f t="shared" si="5"/>
        <v>Saturday</v>
      </c>
    </row>
    <row r="155" spans="1:12">
      <c r="A155">
        <v>10613</v>
      </c>
      <c r="B155" s="14">
        <v>44904</v>
      </c>
      <c r="C155" s="14" t="str">
        <f>TEXT(Table1[[#This Row],[Date]],"mmmm")</f>
        <v>December</v>
      </c>
      <c r="D155" t="s">
        <v>10</v>
      </c>
      <c r="E155" s="15">
        <v>2.95</v>
      </c>
      <c r="F155" s="16">
        <v>677.97</v>
      </c>
      <c r="G155" t="s">
        <v>58</v>
      </c>
      <c r="H155" t="s">
        <v>35</v>
      </c>
      <c r="I155" t="s">
        <v>53</v>
      </c>
      <c r="J155" t="s">
        <v>16</v>
      </c>
      <c r="K155" s="17">
        <f t="shared" si="4"/>
        <v>2000.0115</v>
      </c>
      <c r="L155" t="str">
        <f t="shared" si="5"/>
        <v>Sunday</v>
      </c>
    </row>
    <row r="156" spans="1:12">
      <c r="A156">
        <v>10614</v>
      </c>
      <c r="B156" s="14">
        <v>44904</v>
      </c>
      <c r="C156" s="14" t="str">
        <f>TEXT(Table1[[#This Row],[Date]],"mmmm")</f>
        <v>December</v>
      </c>
      <c r="D156" t="s">
        <v>7</v>
      </c>
      <c r="E156" s="15">
        <v>4.99</v>
      </c>
      <c r="F156" s="16">
        <v>200.4</v>
      </c>
      <c r="G156" t="s">
        <v>58</v>
      </c>
      <c r="H156" t="s">
        <v>35</v>
      </c>
      <c r="I156" t="s">
        <v>53</v>
      </c>
      <c r="J156" t="s">
        <v>16</v>
      </c>
      <c r="K156" s="17">
        <f t="shared" si="4"/>
        <v>999.996</v>
      </c>
      <c r="L156" t="str">
        <f t="shared" si="5"/>
        <v>Monday</v>
      </c>
    </row>
    <row r="157" spans="1:12">
      <c r="A157">
        <v>10615</v>
      </c>
      <c r="B157" s="14">
        <v>44905</v>
      </c>
      <c r="C157" s="14" t="str">
        <f>TEXT(Table1[[#This Row],[Date]],"mmmm")</f>
        <v>December</v>
      </c>
      <c r="D157" t="s">
        <v>20</v>
      </c>
      <c r="E157" s="15">
        <v>12.99</v>
      </c>
      <c r="F157" s="16">
        <v>569.67</v>
      </c>
      <c r="G157" t="s">
        <v>58</v>
      </c>
      <c r="H157" t="s">
        <v>35</v>
      </c>
      <c r="I157" t="s">
        <v>53</v>
      </c>
      <c r="J157" t="s">
        <v>16</v>
      </c>
      <c r="K157" s="17">
        <f t="shared" si="4"/>
        <v>7400.0133</v>
      </c>
      <c r="L157" t="str">
        <f t="shared" si="5"/>
        <v>Tuesday</v>
      </c>
    </row>
    <row r="158" spans="1:12">
      <c r="A158">
        <v>10616</v>
      </c>
      <c r="B158" s="14">
        <v>44905</v>
      </c>
      <c r="C158" s="14" t="str">
        <f>TEXT(Table1[[#This Row],[Date]],"mmmm")</f>
        <v>December</v>
      </c>
      <c r="D158" t="s">
        <v>13</v>
      </c>
      <c r="E158" s="15">
        <v>9.95</v>
      </c>
      <c r="F158" s="16">
        <v>201.01</v>
      </c>
      <c r="G158" t="s">
        <v>58</v>
      </c>
      <c r="H158" t="s">
        <v>35</v>
      </c>
      <c r="I158" t="s">
        <v>53</v>
      </c>
      <c r="J158" t="s">
        <v>16</v>
      </c>
      <c r="K158" s="17">
        <f t="shared" si="4"/>
        <v>2000.0495</v>
      </c>
      <c r="L158" t="str">
        <f t="shared" si="5"/>
        <v>Wednesday</v>
      </c>
    </row>
    <row r="159" spans="1:12">
      <c r="A159">
        <v>10617</v>
      </c>
      <c r="B159" s="14">
        <v>44905</v>
      </c>
      <c r="C159" s="14" t="str">
        <f>TEXT(Table1[[#This Row],[Date]],"mmmm")</f>
        <v>December</v>
      </c>
      <c r="D159" t="s">
        <v>17</v>
      </c>
      <c r="E159" s="15">
        <v>3.49</v>
      </c>
      <c r="F159" s="16">
        <v>630.37</v>
      </c>
      <c r="G159" t="s">
        <v>58</v>
      </c>
      <c r="H159" t="s">
        <v>35</v>
      </c>
      <c r="I159" t="s">
        <v>53</v>
      </c>
      <c r="J159" t="s">
        <v>16</v>
      </c>
      <c r="K159" s="17">
        <f t="shared" si="4"/>
        <v>2199.9913</v>
      </c>
      <c r="L159" t="str">
        <f t="shared" si="5"/>
        <v>Thursday</v>
      </c>
    </row>
    <row r="160" spans="1:12">
      <c r="A160">
        <v>10618</v>
      </c>
      <c r="B160" s="14">
        <v>44905</v>
      </c>
      <c r="C160" s="14" t="str">
        <f>TEXT(Table1[[#This Row],[Date]],"mmmm")</f>
        <v>December</v>
      </c>
      <c r="D160" t="s">
        <v>10</v>
      </c>
      <c r="E160" s="15">
        <v>2.95</v>
      </c>
      <c r="F160" s="16">
        <v>677.97</v>
      </c>
      <c r="G160" t="s">
        <v>58</v>
      </c>
      <c r="H160" t="s">
        <v>35</v>
      </c>
      <c r="I160" t="s">
        <v>53</v>
      </c>
      <c r="J160" t="s">
        <v>16</v>
      </c>
      <c r="K160" s="17">
        <f t="shared" si="4"/>
        <v>2000.0115</v>
      </c>
      <c r="L160" t="str">
        <f t="shared" si="5"/>
        <v>Friday</v>
      </c>
    </row>
    <row r="161" spans="1:12">
      <c r="A161">
        <v>10619</v>
      </c>
      <c r="B161" s="14">
        <v>44905</v>
      </c>
      <c r="C161" s="14" t="str">
        <f>TEXT(Table1[[#This Row],[Date]],"mmmm")</f>
        <v>December</v>
      </c>
      <c r="D161" t="s">
        <v>7</v>
      </c>
      <c r="E161" s="15">
        <v>4.99</v>
      </c>
      <c r="F161" s="16">
        <v>200.4</v>
      </c>
      <c r="G161" t="s">
        <v>58</v>
      </c>
      <c r="H161" t="s">
        <v>35</v>
      </c>
      <c r="I161" t="s">
        <v>53</v>
      </c>
      <c r="J161" t="s">
        <v>16</v>
      </c>
      <c r="K161" s="17">
        <f t="shared" si="4"/>
        <v>999.996</v>
      </c>
      <c r="L161" t="str">
        <f t="shared" si="5"/>
        <v>Saturday</v>
      </c>
    </row>
    <row r="162" spans="1:12">
      <c r="A162">
        <v>10620</v>
      </c>
      <c r="B162" s="14">
        <v>44906</v>
      </c>
      <c r="C162" s="14" t="str">
        <f>TEXT(Table1[[#This Row],[Date]],"mmmm")</f>
        <v>December</v>
      </c>
      <c r="D162" t="s">
        <v>20</v>
      </c>
      <c r="E162" s="15">
        <v>12.99</v>
      </c>
      <c r="F162" s="16">
        <v>585.07</v>
      </c>
      <c r="G162" t="s">
        <v>58</v>
      </c>
      <c r="H162" t="s">
        <v>35</v>
      </c>
      <c r="I162" t="s">
        <v>53</v>
      </c>
      <c r="J162" t="s">
        <v>16</v>
      </c>
      <c r="K162" s="17">
        <f t="shared" si="4"/>
        <v>7600.0593</v>
      </c>
      <c r="L162" t="str">
        <f t="shared" si="5"/>
        <v>Sunday</v>
      </c>
    </row>
    <row r="163" spans="1:12">
      <c r="A163">
        <v>10621</v>
      </c>
      <c r="B163" s="14">
        <v>44906</v>
      </c>
      <c r="C163" s="14" t="str">
        <f>TEXT(Table1[[#This Row],[Date]],"mmmm")</f>
        <v>December</v>
      </c>
      <c r="D163" t="s">
        <v>13</v>
      </c>
      <c r="E163" s="15">
        <v>9.95</v>
      </c>
      <c r="F163" s="16">
        <v>201.01</v>
      </c>
      <c r="G163" t="s">
        <v>58</v>
      </c>
      <c r="H163" t="s">
        <v>35</v>
      </c>
      <c r="I163" t="s">
        <v>53</v>
      </c>
      <c r="J163" t="s">
        <v>16</v>
      </c>
      <c r="K163" s="17">
        <f t="shared" si="4"/>
        <v>2000.0495</v>
      </c>
      <c r="L163" t="str">
        <f t="shared" si="5"/>
        <v>Monday</v>
      </c>
    </row>
    <row r="164" spans="1:12">
      <c r="A164">
        <v>10622</v>
      </c>
      <c r="B164" s="14">
        <v>44906</v>
      </c>
      <c r="C164" s="14" t="str">
        <f>TEXT(Table1[[#This Row],[Date]],"mmmm")</f>
        <v>December</v>
      </c>
      <c r="D164" t="s">
        <v>17</v>
      </c>
      <c r="E164" s="15">
        <v>3.49</v>
      </c>
      <c r="F164" s="16">
        <v>630.37</v>
      </c>
      <c r="G164" t="s">
        <v>58</v>
      </c>
      <c r="H164" t="s">
        <v>35</v>
      </c>
      <c r="I164" t="s">
        <v>53</v>
      </c>
      <c r="J164" t="s">
        <v>16</v>
      </c>
      <c r="K164" s="17">
        <f t="shared" si="4"/>
        <v>2199.9913</v>
      </c>
      <c r="L164" t="str">
        <f t="shared" si="5"/>
        <v>Tuesday</v>
      </c>
    </row>
    <row r="165" spans="1:12">
      <c r="A165">
        <v>10623</v>
      </c>
      <c r="B165" s="14">
        <v>44906</v>
      </c>
      <c r="C165" s="14" t="str">
        <f>TEXT(Table1[[#This Row],[Date]],"mmmm")</f>
        <v>December</v>
      </c>
      <c r="D165" t="s">
        <v>10</v>
      </c>
      <c r="E165" s="15">
        <v>2.95</v>
      </c>
      <c r="F165" s="16">
        <v>745.76</v>
      </c>
      <c r="G165" t="s">
        <v>58</v>
      </c>
      <c r="H165" t="s">
        <v>35</v>
      </c>
      <c r="I165" t="s">
        <v>53</v>
      </c>
      <c r="J165" t="s">
        <v>16</v>
      </c>
      <c r="K165" s="17">
        <f t="shared" si="4"/>
        <v>2199.992</v>
      </c>
      <c r="L165" t="str">
        <f t="shared" si="5"/>
        <v>Wednesday</v>
      </c>
    </row>
    <row r="166" spans="1:12">
      <c r="A166">
        <v>10624</v>
      </c>
      <c r="B166" s="14">
        <v>44906</v>
      </c>
      <c r="C166" s="14" t="str">
        <f>TEXT(Table1[[#This Row],[Date]],"mmmm")</f>
        <v>December</v>
      </c>
      <c r="D166" t="s">
        <v>7</v>
      </c>
      <c r="E166" s="15">
        <v>4.99</v>
      </c>
      <c r="F166" s="16">
        <v>200.4</v>
      </c>
      <c r="G166" t="s">
        <v>58</v>
      </c>
      <c r="H166" t="s">
        <v>35</v>
      </c>
      <c r="I166" t="s">
        <v>53</v>
      </c>
      <c r="J166" t="s">
        <v>16</v>
      </c>
      <c r="K166" s="17">
        <f t="shared" si="4"/>
        <v>999.996</v>
      </c>
      <c r="L166" t="str">
        <f t="shared" si="5"/>
        <v>Thursday</v>
      </c>
    </row>
    <row r="167" spans="1:12">
      <c r="A167">
        <v>10625</v>
      </c>
      <c r="B167" s="14">
        <v>44907</v>
      </c>
      <c r="C167" s="14" t="str">
        <f>TEXT(Table1[[#This Row],[Date]],"mmmm")</f>
        <v>December</v>
      </c>
      <c r="D167" t="s">
        <v>20</v>
      </c>
      <c r="E167" s="15">
        <v>12.99</v>
      </c>
      <c r="F167" s="16">
        <v>569.67</v>
      </c>
      <c r="G167" t="s">
        <v>58</v>
      </c>
      <c r="H167" t="s">
        <v>35</v>
      </c>
      <c r="I167" t="s">
        <v>53</v>
      </c>
      <c r="J167" t="s">
        <v>16</v>
      </c>
      <c r="K167" s="17">
        <f t="shared" si="4"/>
        <v>7400.0133</v>
      </c>
      <c r="L167" t="str">
        <f t="shared" si="5"/>
        <v>Friday</v>
      </c>
    </row>
    <row r="168" spans="1:12">
      <c r="A168">
        <v>10626</v>
      </c>
      <c r="B168" s="14">
        <v>44907</v>
      </c>
      <c r="C168" s="14" t="str">
        <f>TEXT(Table1[[#This Row],[Date]],"mmmm")</f>
        <v>December</v>
      </c>
      <c r="D168" t="s">
        <v>13</v>
      </c>
      <c r="E168" s="15">
        <v>9.95</v>
      </c>
      <c r="F168" s="16">
        <v>201.01</v>
      </c>
      <c r="G168" t="s">
        <v>58</v>
      </c>
      <c r="H168" t="s">
        <v>35</v>
      </c>
      <c r="I168" t="s">
        <v>53</v>
      </c>
      <c r="J168" t="s">
        <v>16</v>
      </c>
      <c r="K168" s="17">
        <f t="shared" si="4"/>
        <v>2000.0495</v>
      </c>
      <c r="L168" t="str">
        <f t="shared" si="5"/>
        <v>Saturday</v>
      </c>
    </row>
    <row r="169" spans="1:12">
      <c r="A169">
        <v>10627</v>
      </c>
      <c r="B169" s="14">
        <v>44907</v>
      </c>
      <c r="C169" s="14" t="str">
        <f>TEXT(Table1[[#This Row],[Date]],"mmmm")</f>
        <v>December</v>
      </c>
      <c r="D169" t="s">
        <v>17</v>
      </c>
      <c r="E169" s="15">
        <v>3.49</v>
      </c>
      <c r="F169" s="16">
        <v>630.37</v>
      </c>
      <c r="G169" t="s">
        <v>58</v>
      </c>
      <c r="H169" t="s">
        <v>35</v>
      </c>
      <c r="I169" t="s">
        <v>53</v>
      </c>
      <c r="J169" t="s">
        <v>16</v>
      </c>
      <c r="K169" s="17">
        <f t="shared" si="4"/>
        <v>2199.9913</v>
      </c>
      <c r="L169" t="str">
        <f t="shared" si="5"/>
        <v>Sunday</v>
      </c>
    </row>
    <row r="170" spans="1:12">
      <c r="A170">
        <v>10628</v>
      </c>
      <c r="B170" s="14">
        <v>44907</v>
      </c>
      <c r="C170" s="14" t="str">
        <f>TEXT(Table1[[#This Row],[Date]],"mmmm")</f>
        <v>December</v>
      </c>
      <c r="D170" t="s">
        <v>10</v>
      </c>
      <c r="E170" s="15">
        <v>2.95</v>
      </c>
      <c r="F170" s="16">
        <v>677.97</v>
      </c>
      <c r="G170" t="s">
        <v>58</v>
      </c>
      <c r="H170" t="s">
        <v>35</v>
      </c>
      <c r="I170" t="s">
        <v>46</v>
      </c>
      <c r="J170" t="s">
        <v>19</v>
      </c>
      <c r="K170" s="17">
        <f t="shared" si="4"/>
        <v>2000.0115</v>
      </c>
      <c r="L170" t="str">
        <f t="shared" si="5"/>
        <v>Monday</v>
      </c>
    </row>
    <row r="171" spans="1:12">
      <c r="A171">
        <v>10629</v>
      </c>
      <c r="B171" s="14">
        <v>44907</v>
      </c>
      <c r="C171" s="14" t="str">
        <f>TEXT(Table1[[#This Row],[Date]],"mmmm")</f>
        <v>December</v>
      </c>
      <c r="D171" t="s">
        <v>7</v>
      </c>
      <c r="E171" s="15">
        <v>4.99</v>
      </c>
      <c r="F171" s="16">
        <v>200.4</v>
      </c>
      <c r="G171" t="s">
        <v>58</v>
      </c>
      <c r="H171" t="s">
        <v>35</v>
      </c>
      <c r="I171" t="s">
        <v>46</v>
      </c>
      <c r="J171" t="s">
        <v>19</v>
      </c>
      <c r="K171" s="17">
        <f t="shared" si="4"/>
        <v>999.996</v>
      </c>
      <c r="L171" t="str">
        <f t="shared" si="5"/>
        <v>Tuesday</v>
      </c>
    </row>
    <row r="172" spans="1:12">
      <c r="A172">
        <v>10630</v>
      </c>
      <c r="B172" s="14">
        <v>44908</v>
      </c>
      <c r="C172" s="14" t="str">
        <f>TEXT(Table1[[#This Row],[Date]],"mmmm")</f>
        <v>December</v>
      </c>
      <c r="D172" t="s">
        <v>20</v>
      </c>
      <c r="E172" s="15">
        <v>12.99</v>
      </c>
      <c r="F172" s="16">
        <v>569.67</v>
      </c>
      <c r="G172" t="s">
        <v>58</v>
      </c>
      <c r="H172" t="s">
        <v>30</v>
      </c>
      <c r="I172" t="s">
        <v>46</v>
      </c>
      <c r="J172" t="s">
        <v>19</v>
      </c>
      <c r="K172" s="17">
        <f t="shared" si="4"/>
        <v>7400.0133</v>
      </c>
      <c r="L172" t="str">
        <f t="shared" si="5"/>
        <v>Wednesday</v>
      </c>
    </row>
    <row r="173" spans="1:12">
      <c r="A173">
        <v>10631</v>
      </c>
      <c r="B173" s="14">
        <v>44908</v>
      </c>
      <c r="C173" s="14" t="str">
        <f>TEXT(Table1[[#This Row],[Date]],"mmmm")</f>
        <v>December</v>
      </c>
      <c r="D173" t="s">
        <v>13</v>
      </c>
      <c r="E173" s="15">
        <v>9.95</v>
      </c>
      <c r="F173" s="16">
        <v>201.01</v>
      </c>
      <c r="G173" t="s">
        <v>58</v>
      </c>
      <c r="H173" t="s">
        <v>35</v>
      </c>
      <c r="I173" t="s">
        <v>46</v>
      </c>
      <c r="J173" t="s">
        <v>19</v>
      </c>
      <c r="K173" s="17">
        <f t="shared" si="4"/>
        <v>2000.0495</v>
      </c>
      <c r="L173" t="str">
        <f t="shared" si="5"/>
        <v>Thursday</v>
      </c>
    </row>
    <row r="174" spans="1:12">
      <c r="A174">
        <v>10632</v>
      </c>
      <c r="B174" s="14">
        <v>44908</v>
      </c>
      <c r="C174" s="14" t="str">
        <f>TEXT(Table1[[#This Row],[Date]],"mmmm")</f>
        <v>December</v>
      </c>
      <c r="D174" t="s">
        <v>17</v>
      </c>
      <c r="E174" s="15">
        <v>3.49</v>
      </c>
      <c r="F174" s="16">
        <v>630.37</v>
      </c>
      <c r="G174" t="s">
        <v>58</v>
      </c>
      <c r="H174" t="s">
        <v>35</v>
      </c>
      <c r="I174" t="s">
        <v>46</v>
      </c>
      <c r="J174" t="s">
        <v>19</v>
      </c>
      <c r="K174" s="17">
        <f t="shared" si="4"/>
        <v>2199.9913</v>
      </c>
      <c r="L174" t="str">
        <f t="shared" si="5"/>
        <v>Friday</v>
      </c>
    </row>
    <row r="175" spans="1:12">
      <c r="A175">
        <v>10633</v>
      </c>
      <c r="B175" s="14">
        <v>44908</v>
      </c>
      <c r="C175" s="14" t="str">
        <f>TEXT(Table1[[#This Row],[Date]],"mmmm")</f>
        <v>December</v>
      </c>
      <c r="D175" t="s">
        <v>10</v>
      </c>
      <c r="E175" s="15">
        <v>2.95</v>
      </c>
      <c r="F175" s="16">
        <v>677.97</v>
      </c>
      <c r="G175" t="s">
        <v>58</v>
      </c>
      <c r="H175" t="s">
        <v>35</v>
      </c>
      <c r="I175" t="s">
        <v>46</v>
      </c>
      <c r="J175" t="s">
        <v>19</v>
      </c>
      <c r="K175" s="17">
        <f t="shared" si="4"/>
        <v>2000.0115</v>
      </c>
      <c r="L175" t="str">
        <f t="shared" si="5"/>
        <v>Saturday</v>
      </c>
    </row>
    <row r="176" spans="1:12">
      <c r="A176">
        <v>10634</v>
      </c>
      <c r="B176" s="14">
        <v>44908</v>
      </c>
      <c r="C176" s="14" t="str">
        <f>TEXT(Table1[[#This Row],[Date]],"mmmm")</f>
        <v>December</v>
      </c>
      <c r="D176" t="s">
        <v>7</v>
      </c>
      <c r="E176" s="15">
        <v>4.99</v>
      </c>
      <c r="F176" s="16">
        <v>200.4</v>
      </c>
      <c r="G176" t="s">
        <v>58</v>
      </c>
      <c r="H176" t="s">
        <v>35</v>
      </c>
      <c r="I176" t="s">
        <v>46</v>
      </c>
      <c r="J176" t="s">
        <v>19</v>
      </c>
      <c r="K176" s="17">
        <f t="shared" si="4"/>
        <v>999.996</v>
      </c>
      <c r="L176" t="str">
        <f t="shared" si="5"/>
        <v>Sunday</v>
      </c>
    </row>
    <row r="177" spans="1:12">
      <c r="A177">
        <v>10635</v>
      </c>
      <c r="B177" s="14">
        <v>44909</v>
      </c>
      <c r="C177" s="14" t="str">
        <f>TEXT(Table1[[#This Row],[Date]],"mmmm")</f>
        <v>December</v>
      </c>
      <c r="D177" t="s">
        <v>20</v>
      </c>
      <c r="E177" s="15">
        <v>12.99</v>
      </c>
      <c r="F177" s="16">
        <v>554.27</v>
      </c>
      <c r="G177" t="s">
        <v>58</v>
      </c>
      <c r="H177" t="s">
        <v>35</v>
      </c>
      <c r="I177" t="s">
        <v>46</v>
      </c>
      <c r="J177" t="s">
        <v>19</v>
      </c>
      <c r="K177" s="17">
        <f t="shared" si="4"/>
        <v>7199.9673</v>
      </c>
      <c r="L177" t="str">
        <f t="shared" si="5"/>
        <v>Monday</v>
      </c>
    </row>
    <row r="178" spans="1:12">
      <c r="A178">
        <v>10636</v>
      </c>
      <c r="B178" s="14">
        <v>44909</v>
      </c>
      <c r="C178" s="14" t="str">
        <f>TEXT(Table1[[#This Row],[Date]],"mmmm")</f>
        <v>December</v>
      </c>
      <c r="D178" t="s">
        <v>13</v>
      </c>
      <c r="E178" s="15">
        <v>9.95</v>
      </c>
      <c r="F178" s="16">
        <v>221.11</v>
      </c>
      <c r="G178" t="s">
        <v>58</v>
      </c>
      <c r="H178" t="s">
        <v>35</v>
      </c>
      <c r="I178" t="s">
        <v>46</v>
      </c>
      <c r="J178" t="s">
        <v>19</v>
      </c>
      <c r="K178" s="17">
        <f t="shared" si="4"/>
        <v>2200.0445</v>
      </c>
      <c r="L178" t="str">
        <f t="shared" si="5"/>
        <v>Tuesday</v>
      </c>
    </row>
    <row r="179" spans="1:12">
      <c r="A179">
        <v>10637</v>
      </c>
      <c r="B179" s="14">
        <v>44909</v>
      </c>
      <c r="C179" s="14" t="str">
        <f>TEXT(Table1[[#This Row],[Date]],"mmmm")</f>
        <v>December</v>
      </c>
      <c r="D179" t="s">
        <v>17</v>
      </c>
      <c r="E179" s="15">
        <v>3.49</v>
      </c>
      <c r="F179" s="16">
        <v>630.37</v>
      </c>
      <c r="G179" t="s">
        <v>58</v>
      </c>
      <c r="H179" t="s">
        <v>35</v>
      </c>
      <c r="I179" t="s">
        <v>46</v>
      </c>
      <c r="J179" t="s">
        <v>19</v>
      </c>
      <c r="K179" s="17">
        <f t="shared" si="4"/>
        <v>2199.9913</v>
      </c>
      <c r="L179" t="str">
        <f t="shared" si="5"/>
        <v>Wednesday</v>
      </c>
    </row>
    <row r="180" spans="1:12">
      <c r="A180">
        <v>10638</v>
      </c>
      <c r="B180" s="14">
        <v>44909</v>
      </c>
      <c r="C180" s="14" t="str">
        <f>TEXT(Table1[[#This Row],[Date]],"mmmm")</f>
        <v>December</v>
      </c>
      <c r="D180" t="s">
        <v>10</v>
      </c>
      <c r="E180" s="15">
        <v>2.95</v>
      </c>
      <c r="F180" s="16">
        <v>677.97</v>
      </c>
      <c r="G180" t="s">
        <v>58</v>
      </c>
      <c r="H180" t="s">
        <v>35</v>
      </c>
      <c r="I180" t="s">
        <v>46</v>
      </c>
      <c r="J180" t="s">
        <v>19</v>
      </c>
      <c r="K180" s="17">
        <f t="shared" si="4"/>
        <v>2000.0115</v>
      </c>
      <c r="L180" t="str">
        <f t="shared" si="5"/>
        <v>Thursday</v>
      </c>
    </row>
    <row r="181" spans="1:12">
      <c r="A181">
        <v>10639</v>
      </c>
      <c r="B181" s="14">
        <v>44909</v>
      </c>
      <c r="C181" s="14" t="str">
        <f>TEXT(Table1[[#This Row],[Date]],"mmmm")</f>
        <v>December</v>
      </c>
      <c r="D181" t="s">
        <v>7</v>
      </c>
      <c r="E181" s="15">
        <v>4.99</v>
      </c>
      <c r="F181" s="16">
        <v>200.4</v>
      </c>
      <c r="G181" t="s">
        <v>58</v>
      </c>
      <c r="H181" t="s">
        <v>35</v>
      </c>
      <c r="I181" t="s">
        <v>46</v>
      </c>
      <c r="J181" t="s">
        <v>19</v>
      </c>
      <c r="K181" s="17">
        <f t="shared" si="4"/>
        <v>999.996</v>
      </c>
      <c r="L181" t="str">
        <f t="shared" si="5"/>
        <v>Friday</v>
      </c>
    </row>
    <row r="182" spans="1:12">
      <c r="A182">
        <v>10640</v>
      </c>
      <c r="B182" s="14">
        <v>44910</v>
      </c>
      <c r="C182" s="14" t="str">
        <f>TEXT(Table1[[#This Row],[Date]],"mmmm")</f>
        <v>December</v>
      </c>
      <c r="D182" t="s">
        <v>20</v>
      </c>
      <c r="E182" s="15">
        <v>12.99</v>
      </c>
      <c r="F182" s="16">
        <v>538.88</v>
      </c>
      <c r="G182" t="s">
        <v>58</v>
      </c>
      <c r="H182" t="s">
        <v>35</v>
      </c>
      <c r="I182" t="s">
        <v>46</v>
      </c>
      <c r="J182" t="s">
        <v>19</v>
      </c>
      <c r="K182" s="17">
        <f t="shared" si="4"/>
        <v>7000.0512</v>
      </c>
      <c r="L182" t="str">
        <f t="shared" si="5"/>
        <v>Saturday</v>
      </c>
    </row>
    <row r="183" spans="1:12">
      <c r="A183">
        <v>10641</v>
      </c>
      <c r="B183" s="14">
        <v>44910</v>
      </c>
      <c r="C183" s="14" t="str">
        <f>TEXT(Table1[[#This Row],[Date]],"mmmm")</f>
        <v>December</v>
      </c>
      <c r="D183" t="s">
        <v>13</v>
      </c>
      <c r="E183" s="15">
        <v>9.95</v>
      </c>
      <c r="F183" s="16">
        <v>221.11</v>
      </c>
      <c r="G183" t="s">
        <v>58</v>
      </c>
      <c r="H183" t="s">
        <v>35</v>
      </c>
      <c r="I183" t="s">
        <v>46</v>
      </c>
      <c r="J183" t="s">
        <v>19</v>
      </c>
      <c r="K183" s="17">
        <f t="shared" si="4"/>
        <v>2200.0445</v>
      </c>
      <c r="L183" t="str">
        <f t="shared" si="5"/>
        <v>Sunday</v>
      </c>
    </row>
    <row r="184" spans="1:12">
      <c r="A184">
        <v>10642</v>
      </c>
      <c r="B184" s="14">
        <v>44910</v>
      </c>
      <c r="C184" s="14" t="str">
        <f>TEXT(Table1[[#This Row],[Date]],"mmmm")</f>
        <v>December</v>
      </c>
      <c r="D184" t="s">
        <v>17</v>
      </c>
      <c r="E184" s="15">
        <v>3.49</v>
      </c>
      <c r="F184" s="16">
        <v>630.37</v>
      </c>
      <c r="G184" t="s">
        <v>58</v>
      </c>
      <c r="H184" t="s">
        <v>30</v>
      </c>
      <c r="I184" t="s">
        <v>46</v>
      </c>
      <c r="J184" t="s">
        <v>19</v>
      </c>
      <c r="K184" s="17">
        <f t="shared" si="4"/>
        <v>2199.9913</v>
      </c>
      <c r="L184" t="str">
        <f t="shared" si="5"/>
        <v>Monday</v>
      </c>
    </row>
    <row r="185" spans="1:12">
      <c r="A185">
        <v>10643</v>
      </c>
      <c r="B185" s="14">
        <v>44910</v>
      </c>
      <c r="C185" s="14" t="str">
        <f>TEXT(Table1[[#This Row],[Date]],"mmmm")</f>
        <v>December</v>
      </c>
      <c r="D185" t="s">
        <v>10</v>
      </c>
      <c r="E185" s="15">
        <v>2.95</v>
      </c>
      <c r="F185" s="16">
        <v>677.97</v>
      </c>
      <c r="G185" t="s">
        <v>58</v>
      </c>
      <c r="H185" t="s">
        <v>30</v>
      </c>
      <c r="I185" t="s">
        <v>46</v>
      </c>
      <c r="J185" t="s">
        <v>19</v>
      </c>
      <c r="K185" s="17">
        <f t="shared" si="4"/>
        <v>2000.0115</v>
      </c>
      <c r="L185" t="str">
        <f t="shared" si="5"/>
        <v>Tuesday</v>
      </c>
    </row>
    <row r="186" spans="1:12">
      <c r="A186">
        <v>10644</v>
      </c>
      <c r="B186" s="14">
        <v>44910</v>
      </c>
      <c r="C186" s="14" t="str">
        <f>TEXT(Table1[[#This Row],[Date]],"mmmm")</f>
        <v>December</v>
      </c>
      <c r="D186" t="s">
        <v>7</v>
      </c>
      <c r="E186" s="15">
        <v>4.99</v>
      </c>
      <c r="F186" s="16">
        <v>200.4</v>
      </c>
      <c r="G186" t="s">
        <v>58</v>
      </c>
      <c r="H186" t="s">
        <v>30</v>
      </c>
      <c r="I186" t="s">
        <v>46</v>
      </c>
      <c r="J186" t="s">
        <v>19</v>
      </c>
      <c r="K186" s="17">
        <f t="shared" si="4"/>
        <v>999.996</v>
      </c>
      <c r="L186" t="str">
        <f t="shared" si="5"/>
        <v>Wednesday</v>
      </c>
    </row>
    <row r="187" spans="1:12">
      <c r="A187">
        <v>10645</v>
      </c>
      <c r="B187" s="14">
        <v>44911</v>
      </c>
      <c r="C187" s="14" t="str">
        <f>TEXT(Table1[[#This Row],[Date]],"mmmm")</f>
        <v>December</v>
      </c>
      <c r="D187" t="s">
        <v>20</v>
      </c>
      <c r="E187" s="15">
        <v>12.99</v>
      </c>
      <c r="F187" s="16">
        <v>569.67</v>
      </c>
      <c r="G187" t="s">
        <v>58</v>
      </c>
      <c r="H187" t="s">
        <v>30</v>
      </c>
      <c r="I187" t="s">
        <v>46</v>
      </c>
      <c r="J187" t="s">
        <v>19</v>
      </c>
      <c r="K187" s="17">
        <f t="shared" si="4"/>
        <v>7400.0133</v>
      </c>
      <c r="L187" t="str">
        <f t="shared" si="5"/>
        <v>Thursday</v>
      </c>
    </row>
    <row r="188" spans="1:12">
      <c r="A188">
        <v>10646</v>
      </c>
      <c r="B188" s="14">
        <v>44911</v>
      </c>
      <c r="C188" s="14" t="str">
        <f>TEXT(Table1[[#This Row],[Date]],"mmmm")</f>
        <v>December</v>
      </c>
      <c r="D188" t="s">
        <v>13</v>
      </c>
      <c r="E188" s="15">
        <v>9.95</v>
      </c>
      <c r="F188" s="16">
        <v>221.11</v>
      </c>
      <c r="G188" t="s">
        <v>58</v>
      </c>
      <c r="H188" t="s">
        <v>30</v>
      </c>
      <c r="I188" t="s">
        <v>46</v>
      </c>
      <c r="J188" t="s">
        <v>19</v>
      </c>
      <c r="K188" s="17">
        <f t="shared" si="4"/>
        <v>2200.0445</v>
      </c>
      <c r="L188" t="str">
        <f t="shared" si="5"/>
        <v>Friday</v>
      </c>
    </row>
    <row r="189" spans="1:12">
      <c r="A189">
        <v>10647</v>
      </c>
      <c r="B189" s="14">
        <v>44911</v>
      </c>
      <c r="C189" s="14" t="str">
        <f>TEXT(Table1[[#This Row],[Date]],"mmmm")</f>
        <v>December</v>
      </c>
      <c r="D189" t="s">
        <v>17</v>
      </c>
      <c r="E189" s="15">
        <v>3.49</v>
      </c>
      <c r="F189" s="16">
        <v>630.37</v>
      </c>
      <c r="G189" t="s">
        <v>58</v>
      </c>
      <c r="H189" t="s">
        <v>35</v>
      </c>
      <c r="I189" t="s">
        <v>46</v>
      </c>
      <c r="J189" t="s">
        <v>19</v>
      </c>
      <c r="K189" s="17">
        <f t="shared" si="4"/>
        <v>2199.9913</v>
      </c>
      <c r="L189" t="str">
        <f t="shared" si="5"/>
        <v>Saturday</v>
      </c>
    </row>
    <row r="190" spans="1:12">
      <c r="A190">
        <v>10648</v>
      </c>
      <c r="B190" s="14">
        <v>44911</v>
      </c>
      <c r="C190" s="14" t="str">
        <f>TEXT(Table1[[#This Row],[Date]],"mmmm")</f>
        <v>December</v>
      </c>
      <c r="D190" t="s">
        <v>10</v>
      </c>
      <c r="E190" s="15">
        <v>2.95</v>
      </c>
      <c r="F190" s="16">
        <v>745.76</v>
      </c>
      <c r="G190" t="s">
        <v>58</v>
      </c>
      <c r="H190" t="s">
        <v>35</v>
      </c>
      <c r="I190" t="s">
        <v>46</v>
      </c>
      <c r="J190" t="s">
        <v>19</v>
      </c>
      <c r="K190" s="17">
        <f t="shared" si="4"/>
        <v>2199.992</v>
      </c>
      <c r="L190" t="str">
        <f t="shared" si="5"/>
        <v>Sunday</v>
      </c>
    </row>
    <row r="191" spans="1:12">
      <c r="A191">
        <v>10649</v>
      </c>
      <c r="B191" s="14">
        <v>44911</v>
      </c>
      <c r="C191" s="14" t="str">
        <f>TEXT(Table1[[#This Row],[Date]],"mmmm")</f>
        <v>December</v>
      </c>
      <c r="D191" t="s">
        <v>7</v>
      </c>
      <c r="E191" s="15">
        <v>4.99</v>
      </c>
      <c r="F191" s="16">
        <v>200.4</v>
      </c>
      <c r="G191" t="s">
        <v>58</v>
      </c>
      <c r="H191" t="s">
        <v>35</v>
      </c>
      <c r="I191" t="s">
        <v>46</v>
      </c>
      <c r="J191" t="s">
        <v>19</v>
      </c>
      <c r="K191" s="17">
        <f t="shared" si="4"/>
        <v>999.996</v>
      </c>
      <c r="L191" t="str">
        <f t="shared" si="5"/>
        <v>Monday</v>
      </c>
    </row>
    <row r="192" spans="1:12">
      <c r="A192">
        <v>10650</v>
      </c>
      <c r="B192" s="14">
        <v>44912</v>
      </c>
      <c r="C192" s="14" t="str">
        <f>TEXT(Table1[[#This Row],[Date]],"mmmm")</f>
        <v>December</v>
      </c>
      <c r="D192" t="s">
        <v>20</v>
      </c>
      <c r="E192" s="15">
        <v>12.99</v>
      </c>
      <c r="F192" s="16">
        <v>585.07</v>
      </c>
      <c r="G192" t="s">
        <v>58</v>
      </c>
      <c r="H192" t="s">
        <v>35</v>
      </c>
      <c r="I192" t="s">
        <v>46</v>
      </c>
      <c r="J192" t="s">
        <v>19</v>
      </c>
      <c r="K192" s="17">
        <f t="shared" si="4"/>
        <v>7600.0593</v>
      </c>
      <c r="L192" t="str">
        <f t="shared" si="5"/>
        <v>Tuesday</v>
      </c>
    </row>
    <row r="193" spans="1:12">
      <c r="A193">
        <v>10651</v>
      </c>
      <c r="B193" s="14">
        <v>44912</v>
      </c>
      <c r="C193" s="14" t="str">
        <f>TEXT(Table1[[#This Row],[Date]],"mmmm")</f>
        <v>December</v>
      </c>
      <c r="D193" t="s">
        <v>13</v>
      </c>
      <c r="E193" s="15">
        <v>9.95</v>
      </c>
      <c r="F193" s="16">
        <v>221.11</v>
      </c>
      <c r="G193" t="s">
        <v>58</v>
      </c>
      <c r="H193" t="s">
        <v>35</v>
      </c>
      <c r="I193" t="s">
        <v>46</v>
      </c>
      <c r="J193" t="s">
        <v>19</v>
      </c>
      <c r="K193" s="17">
        <f t="shared" si="4"/>
        <v>2200.0445</v>
      </c>
      <c r="L193" t="str">
        <f t="shared" si="5"/>
        <v>Wednesday</v>
      </c>
    </row>
    <row r="194" spans="1:12">
      <c r="A194">
        <v>10652</v>
      </c>
      <c r="B194" s="14">
        <v>44912</v>
      </c>
      <c r="C194" s="14" t="str">
        <f>TEXT(Table1[[#This Row],[Date]],"mmmm")</f>
        <v>December</v>
      </c>
      <c r="D194" t="s">
        <v>17</v>
      </c>
      <c r="E194" s="15">
        <v>3.49</v>
      </c>
      <c r="F194" s="16">
        <v>687.68</v>
      </c>
      <c r="G194" t="s">
        <v>58</v>
      </c>
      <c r="H194" t="s">
        <v>35</v>
      </c>
      <c r="I194" t="s">
        <v>46</v>
      </c>
      <c r="J194" t="s">
        <v>19</v>
      </c>
      <c r="K194" s="17">
        <f t="shared" ref="K194:K255" si="6">E194*F194</f>
        <v>2400.0032</v>
      </c>
      <c r="L194" t="str">
        <f t="shared" ref="L194:L255" si="7">TEXT(A194,"dddd")</f>
        <v>Thursday</v>
      </c>
    </row>
    <row r="195" spans="1:12">
      <c r="A195">
        <v>10653</v>
      </c>
      <c r="B195" s="14">
        <v>44912</v>
      </c>
      <c r="C195" s="14" t="str">
        <f>TEXT(Table1[[#This Row],[Date]],"mmmm")</f>
        <v>December</v>
      </c>
      <c r="D195" t="s">
        <v>10</v>
      </c>
      <c r="E195" s="15">
        <v>2.95</v>
      </c>
      <c r="F195" s="16">
        <v>745.76</v>
      </c>
      <c r="G195" t="s">
        <v>58</v>
      </c>
      <c r="H195" t="s">
        <v>35</v>
      </c>
      <c r="I195" t="s">
        <v>46</v>
      </c>
      <c r="J195" t="s">
        <v>19</v>
      </c>
      <c r="K195" s="17">
        <f t="shared" si="6"/>
        <v>2199.992</v>
      </c>
      <c r="L195" t="str">
        <f t="shared" si="7"/>
        <v>Friday</v>
      </c>
    </row>
    <row r="196" spans="1:12">
      <c r="A196">
        <v>10654</v>
      </c>
      <c r="B196" s="14">
        <v>44912</v>
      </c>
      <c r="C196" s="14" t="str">
        <f>TEXT(Table1[[#This Row],[Date]],"mmmm")</f>
        <v>December</v>
      </c>
      <c r="D196" t="s">
        <v>7</v>
      </c>
      <c r="E196" s="15">
        <v>4.99</v>
      </c>
      <c r="F196" s="16">
        <v>200.4</v>
      </c>
      <c r="G196" t="s">
        <v>58</v>
      </c>
      <c r="H196" t="s">
        <v>35</v>
      </c>
      <c r="I196" t="s">
        <v>46</v>
      </c>
      <c r="J196" t="s">
        <v>19</v>
      </c>
      <c r="K196" s="17">
        <f t="shared" si="6"/>
        <v>999.996</v>
      </c>
      <c r="L196" t="str">
        <f t="shared" si="7"/>
        <v>Saturday</v>
      </c>
    </row>
    <row r="197" spans="1:12">
      <c r="A197">
        <v>10655</v>
      </c>
      <c r="B197" s="14">
        <v>44913</v>
      </c>
      <c r="C197" s="14" t="str">
        <f>TEXT(Table1[[#This Row],[Date]],"mmmm")</f>
        <v>December</v>
      </c>
      <c r="D197" t="s">
        <v>20</v>
      </c>
      <c r="E197" s="15">
        <v>12.99</v>
      </c>
      <c r="F197" s="16">
        <v>600.46</v>
      </c>
      <c r="G197" t="s">
        <v>58</v>
      </c>
      <c r="H197" t="s">
        <v>35</v>
      </c>
      <c r="I197" t="s">
        <v>46</v>
      </c>
      <c r="J197" t="s">
        <v>19</v>
      </c>
      <c r="K197" s="17">
        <f t="shared" si="6"/>
        <v>7799.9754</v>
      </c>
      <c r="L197" t="str">
        <f t="shared" si="7"/>
        <v>Sunday</v>
      </c>
    </row>
    <row r="198" spans="1:12">
      <c r="A198">
        <v>10656</v>
      </c>
      <c r="B198" s="14">
        <v>44913</v>
      </c>
      <c r="C198" s="14" t="str">
        <f>TEXT(Table1[[#This Row],[Date]],"mmmm")</f>
        <v>December</v>
      </c>
      <c r="D198" t="s">
        <v>13</v>
      </c>
      <c r="E198" s="15">
        <v>9.95</v>
      </c>
      <c r="F198" s="16">
        <v>221.11</v>
      </c>
      <c r="G198" t="s">
        <v>58</v>
      </c>
      <c r="H198" t="s">
        <v>35</v>
      </c>
      <c r="I198" t="s">
        <v>46</v>
      </c>
      <c r="J198" t="s">
        <v>19</v>
      </c>
      <c r="K198" s="17">
        <f t="shared" si="6"/>
        <v>2200.0445</v>
      </c>
      <c r="L198" t="str">
        <f t="shared" si="7"/>
        <v>Monday</v>
      </c>
    </row>
    <row r="199" spans="1:12">
      <c r="A199">
        <v>10657</v>
      </c>
      <c r="B199" s="14">
        <v>44913</v>
      </c>
      <c r="C199" s="14" t="str">
        <f>TEXT(Table1[[#This Row],[Date]],"mmmm")</f>
        <v>December</v>
      </c>
      <c r="D199" t="s">
        <v>17</v>
      </c>
      <c r="E199" s="15">
        <v>3.49</v>
      </c>
      <c r="F199" s="16">
        <v>687.68</v>
      </c>
      <c r="G199" t="s">
        <v>58</v>
      </c>
      <c r="H199" t="s">
        <v>35</v>
      </c>
      <c r="I199" t="s">
        <v>46</v>
      </c>
      <c r="J199" t="s">
        <v>19</v>
      </c>
      <c r="K199" s="17">
        <f t="shared" si="6"/>
        <v>2400.0032</v>
      </c>
      <c r="L199" t="str">
        <f t="shared" si="7"/>
        <v>Tuesday</v>
      </c>
    </row>
    <row r="200" spans="1:12">
      <c r="A200">
        <v>10658</v>
      </c>
      <c r="B200" s="14">
        <v>44913</v>
      </c>
      <c r="C200" s="14" t="str">
        <f>TEXT(Table1[[#This Row],[Date]],"mmmm")</f>
        <v>December</v>
      </c>
      <c r="D200" t="s">
        <v>10</v>
      </c>
      <c r="E200" s="15">
        <v>2.95</v>
      </c>
      <c r="F200" s="16">
        <v>745.76</v>
      </c>
      <c r="G200" t="s">
        <v>58</v>
      </c>
      <c r="H200" t="s">
        <v>30</v>
      </c>
      <c r="I200" t="s">
        <v>46</v>
      </c>
      <c r="J200" t="s">
        <v>19</v>
      </c>
      <c r="K200" s="17">
        <f t="shared" si="6"/>
        <v>2199.992</v>
      </c>
      <c r="L200" t="str">
        <f t="shared" si="7"/>
        <v>Wednesday</v>
      </c>
    </row>
    <row r="201" spans="1:12">
      <c r="A201">
        <v>10659</v>
      </c>
      <c r="B201" s="14">
        <v>44913</v>
      </c>
      <c r="C201" s="14" t="str">
        <f>TEXT(Table1[[#This Row],[Date]],"mmmm")</f>
        <v>December</v>
      </c>
      <c r="D201" t="s">
        <v>7</v>
      </c>
      <c r="E201" s="15">
        <v>4.99</v>
      </c>
      <c r="F201" s="16">
        <v>200.4</v>
      </c>
      <c r="G201" t="s">
        <v>58</v>
      </c>
      <c r="H201" t="s">
        <v>30</v>
      </c>
      <c r="I201" t="s">
        <v>46</v>
      </c>
      <c r="J201" t="s">
        <v>19</v>
      </c>
      <c r="K201" s="17">
        <f t="shared" si="6"/>
        <v>999.996</v>
      </c>
      <c r="L201" t="str">
        <f t="shared" si="7"/>
        <v>Thursday</v>
      </c>
    </row>
    <row r="202" spans="1:12">
      <c r="A202">
        <v>10660</v>
      </c>
      <c r="B202" s="14">
        <v>44914</v>
      </c>
      <c r="C202" s="14" t="str">
        <f>TEXT(Table1[[#This Row],[Date]],"mmmm")</f>
        <v>December</v>
      </c>
      <c r="D202" t="s">
        <v>20</v>
      </c>
      <c r="E202" s="15">
        <v>12.99</v>
      </c>
      <c r="F202" s="16">
        <v>631.25</v>
      </c>
      <c r="G202" t="s">
        <v>55</v>
      </c>
      <c r="H202" t="s">
        <v>30</v>
      </c>
      <c r="I202" t="s">
        <v>46</v>
      </c>
      <c r="J202" t="s">
        <v>19</v>
      </c>
      <c r="K202" s="17">
        <f t="shared" si="6"/>
        <v>8199.9375</v>
      </c>
      <c r="L202" t="str">
        <f t="shared" si="7"/>
        <v>Friday</v>
      </c>
    </row>
    <row r="203" spans="1:12">
      <c r="A203">
        <v>10661</v>
      </c>
      <c r="B203" s="14">
        <v>44914</v>
      </c>
      <c r="C203" s="14" t="str">
        <f>TEXT(Table1[[#This Row],[Date]],"mmmm")</f>
        <v>December</v>
      </c>
      <c r="D203" t="s">
        <v>13</v>
      </c>
      <c r="E203" s="15">
        <v>9.95</v>
      </c>
      <c r="F203" s="16">
        <v>221.11</v>
      </c>
      <c r="G203" t="s">
        <v>55</v>
      </c>
      <c r="H203" t="s">
        <v>30</v>
      </c>
      <c r="I203" t="s">
        <v>46</v>
      </c>
      <c r="J203" t="s">
        <v>19</v>
      </c>
      <c r="K203" s="17">
        <f t="shared" si="6"/>
        <v>2200.0445</v>
      </c>
      <c r="L203" t="str">
        <f t="shared" si="7"/>
        <v>Saturday</v>
      </c>
    </row>
    <row r="204" spans="1:12">
      <c r="A204">
        <v>10662</v>
      </c>
      <c r="B204" s="14">
        <v>44914</v>
      </c>
      <c r="C204" s="14" t="str">
        <f>TEXT(Table1[[#This Row],[Date]],"mmmm")</f>
        <v>December</v>
      </c>
      <c r="D204" t="s">
        <v>17</v>
      </c>
      <c r="E204" s="15">
        <v>3.49</v>
      </c>
      <c r="F204" s="16">
        <v>630.37</v>
      </c>
      <c r="G204" t="s">
        <v>55</v>
      </c>
      <c r="H204" t="s">
        <v>30</v>
      </c>
      <c r="I204" t="s">
        <v>46</v>
      </c>
      <c r="J204" t="s">
        <v>19</v>
      </c>
      <c r="K204" s="17">
        <f t="shared" si="6"/>
        <v>2199.9913</v>
      </c>
      <c r="L204" t="str">
        <f t="shared" si="7"/>
        <v>Sunday</v>
      </c>
    </row>
    <row r="205" spans="1:12">
      <c r="A205">
        <v>10663</v>
      </c>
      <c r="B205" s="14">
        <v>44914</v>
      </c>
      <c r="C205" s="14" t="str">
        <f>TEXT(Table1[[#This Row],[Date]],"mmmm")</f>
        <v>December</v>
      </c>
      <c r="D205" t="s">
        <v>10</v>
      </c>
      <c r="E205" s="15">
        <v>2.95</v>
      </c>
      <c r="F205" s="16">
        <v>745.76</v>
      </c>
      <c r="G205" t="s">
        <v>55</v>
      </c>
      <c r="H205" t="s">
        <v>30</v>
      </c>
      <c r="I205" t="s">
        <v>46</v>
      </c>
      <c r="J205" t="s">
        <v>19</v>
      </c>
      <c r="K205" s="17">
        <f t="shared" si="6"/>
        <v>2199.992</v>
      </c>
      <c r="L205" t="str">
        <f t="shared" si="7"/>
        <v>Monday</v>
      </c>
    </row>
    <row r="206" spans="1:12">
      <c r="A206">
        <v>10664</v>
      </c>
      <c r="B206" s="14">
        <v>44914</v>
      </c>
      <c r="C206" s="14" t="str">
        <f>TEXT(Table1[[#This Row],[Date]],"mmmm")</f>
        <v>December</v>
      </c>
      <c r="D206" t="s">
        <v>7</v>
      </c>
      <c r="E206" s="15">
        <v>4.99</v>
      </c>
      <c r="F206" s="16">
        <v>200.4</v>
      </c>
      <c r="G206" t="s">
        <v>55</v>
      </c>
      <c r="H206" t="s">
        <v>30</v>
      </c>
      <c r="I206" t="s">
        <v>46</v>
      </c>
      <c r="J206" t="s">
        <v>19</v>
      </c>
      <c r="K206" s="17">
        <f t="shared" si="6"/>
        <v>999.996</v>
      </c>
      <c r="L206" t="str">
        <f t="shared" si="7"/>
        <v>Tuesday</v>
      </c>
    </row>
    <row r="207" spans="1:12">
      <c r="A207">
        <v>10665</v>
      </c>
      <c r="B207" s="14">
        <v>44915</v>
      </c>
      <c r="C207" s="14" t="str">
        <f>TEXT(Table1[[#This Row],[Date]],"mmmm")</f>
        <v>December</v>
      </c>
      <c r="D207" t="s">
        <v>20</v>
      </c>
      <c r="E207" s="15">
        <v>12.99</v>
      </c>
      <c r="F207" s="16">
        <v>646.65</v>
      </c>
      <c r="G207" t="s">
        <v>55</v>
      </c>
      <c r="H207" t="s">
        <v>30</v>
      </c>
      <c r="I207" t="s">
        <v>46</v>
      </c>
      <c r="J207" t="s">
        <v>19</v>
      </c>
      <c r="K207" s="17">
        <f t="shared" si="6"/>
        <v>8399.9835</v>
      </c>
      <c r="L207" t="str">
        <f t="shared" si="7"/>
        <v>Wednesday</v>
      </c>
    </row>
    <row r="208" spans="1:12">
      <c r="A208">
        <v>10666</v>
      </c>
      <c r="B208" s="14">
        <v>44915</v>
      </c>
      <c r="C208" s="14" t="str">
        <f>TEXT(Table1[[#This Row],[Date]],"mmmm")</f>
        <v>December</v>
      </c>
      <c r="D208" t="s">
        <v>13</v>
      </c>
      <c r="E208" s="15">
        <v>9.95</v>
      </c>
      <c r="F208" s="16">
        <v>221.11</v>
      </c>
      <c r="G208" t="s">
        <v>55</v>
      </c>
      <c r="H208" t="s">
        <v>30</v>
      </c>
      <c r="I208" t="s">
        <v>46</v>
      </c>
      <c r="J208" t="s">
        <v>19</v>
      </c>
      <c r="K208" s="17">
        <f t="shared" si="6"/>
        <v>2200.0445</v>
      </c>
      <c r="L208" t="str">
        <f t="shared" si="7"/>
        <v>Thursday</v>
      </c>
    </row>
    <row r="209" spans="1:12">
      <c r="A209">
        <v>10667</v>
      </c>
      <c r="B209" s="14">
        <v>44915</v>
      </c>
      <c r="C209" s="14" t="str">
        <f>TEXT(Table1[[#This Row],[Date]],"mmmm")</f>
        <v>December</v>
      </c>
      <c r="D209" t="s">
        <v>17</v>
      </c>
      <c r="E209" s="15">
        <v>3.49</v>
      </c>
      <c r="F209" s="16">
        <v>630.37</v>
      </c>
      <c r="G209" t="s">
        <v>55</v>
      </c>
      <c r="H209" t="s">
        <v>30</v>
      </c>
      <c r="I209" t="s">
        <v>46</v>
      </c>
      <c r="J209" t="s">
        <v>19</v>
      </c>
      <c r="K209" s="17">
        <f t="shared" si="6"/>
        <v>2199.9913</v>
      </c>
      <c r="L209" t="str">
        <f t="shared" si="7"/>
        <v>Friday</v>
      </c>
    </row>
    <row r="210" spans="1:12">
      <c r="A210">
        <v>10668</v>
      </c>
      <c r="B210" s="14">
        <v>44915</v>
      </c>
      <c r="C210" s="14" t="str">
        <f>TEXT(Table1[[#This Row],[Date]],"mmmm")</f>
        <v>December</v>
      </c>
      <c r="D210" t="s">
        <v>10</v>
      </c>
      <c r="E210" s="15">
        <v>2.95</v>
      </c>
      <c r="F210" s="16">
        <v>745.76</v>
      </c>
      <c r="G210" t="s">
        <v>55</v>
      </c>
      <c r="H210" t="s">
        <v>30</v>
      </c>
      <c r="I210" t="s">
        <v>46</v>
      </c>
      <c r="J210" t="s">
        <v>19</v>
      </c>
      <c r="K210" s="17">
        <f t="shared" si="6"/>
        <v>2199.992</v>
      </c>
      <c r="L210" t="str">
        <f t="shared" si="7"/>
        <v>Saturday</v>
      </c>
    </row>
    <row r="211" spans="1:12">
      <c r="A211">
        <v>10669</v>
      </c>
      <c r="B211" s="14">
        <v>44915</v>
      </c>
      <c r="C211" s="14" t="str">
        <f>TEXT(Table1[[#This Row],[Date]],"mmmm")</f>
        <v>December</v>
      </c>
      <c r="D211" t="s">
        <v>7</v>
      </c>
      <c r="E211" s="15">
        <v>4.99</v>
      </c>
      <c r="F211" s="16">
        <v>200.4</v>
      </c>
      <c r="G211" t="s">
        <v>55</v>
      </c>
      <c r="H211" t="s">
        <v>30</v>
      </c>
      <c r="I211" t="s">
        <v>46</v>
      </c>
      <c r="J211" t="s">
        <v>19</v>
      </c>
      <c r="K211" s="17">
        <f t="shared" si="6"/>
        <v>999.996</v>
      </c>
      <c r="L211" t="str">
        <f t="shared" si="7"/>
        <v>Sunday</v>
      </c>
    </row>
    <row r="212" spans="1:12">
      <c r="A212">
        <v>10670</v>
      </c>
      <c r="B212" s="14">
        <v>44916</v>
      </c>
      <c r="C212" s="14" t="str">
        <f>TEXT(Table1[[#This Row],[Date]],"mmmm")</f>
        <v>December</v>
      </c>
      <c r="D212" t="s">
        <v>20</v>
      </c>
      <c r="E212" s="15">
        <v>12.99</v>
      </c>
      <c r="F212" s="16">
        <v>677.44</v>
      </c>
      <c r="G212" t="s">
        <v>55</v>
      </c>
      <c r="H212" t="s">
        <v>30</v>
      </c>
      <c r="I212" t="s">
        <v>46</v>
      </c>
      <c r="J212" t="s">
        <v>19</v>
      </c>
      <c r="K212" s="17">
        <f t="shared" si="6"/>
        <v>8799.9456</v>
      </c>
      <c r="L212" t="str">
        <f t="shared" si="7"/>
        <v>Monday</v>
      </c>
    </row>
    <row r="213" spans="1:12">
      <c r="A213">
        <v>10671</v>
      </c>
      <c r="B213" s="14">
        <v>44916</v>
      </c>
      <c r="C213" s="14" t="str">
        <f>TEXT(Table1[[#This Row],[Date]],"mmmm")</f>
        <v>December</v>
      </c>
      <c r="D213" t="s">
        <v>13</v>
      </c>
      <c r="E213" s="15">
        <v>9.95</v>
      </c>
      <c r="F213" s="16">
        <v>221.11</v>
      </c>
      <c r="G213" t="s">
        <v>55</v>
      </c>
      <c r="H213" t="s">
        <v>30</v>
      </c>
      <c r="I213" t="s">
        <v>46</v>
      </c>
      <c r="J213" t="s">
        <v>19</v>
      </c>
      <c r="K213" s="17">
        <f t="shared" si="6"/>
        <v>2200.0445</v>
      </c>
      <c r="L213" t="str">
        <f t="shared" si="7"/>
        <v>Tuesday</v>
      </c>
    </row>
    <row r="214" spans="1:12">
      <c r="A214">
        <v>10672</v>
      </c>
      <c r="B214" s="14">
        <v>44916</v>
      </c>
      <c r="C214" s="14" t="str">
        <f>TEXT(Table1[[#This Row],[Date]],"mmmm")</f>
        <v>December</v>
      </c>
      <c r="D214" t="s">
        <v>17</v>
      </c>
      <c r="E214" s="15">
        <v>3.49</v>
      </c>
      <c r="F214" s="16">
        <v>630.37</v>
      </c>
      <c r="G214" t="s">
        <v>55</v>
      </c>
      <c r="H214" t="s">
        <v>30</v>
      </c>
      <c r="I214" t="s">
        <v>46</v>
      </c>
      <c r="J214" t="s">
        <v>19</v>
      </c>
      <c r="K214" s="17">
        <f t="shared" si="6"/>
        <v>2199.9913</v>
      </c>
      <c r="L214" t="str">
        <f t="shared" si="7"/>
        <v>Wednesday</v>
      </c>
    </row>
    <row r="215" spans="1:12">
      <c r="A215">
        <v>10673</v>
      </c>
      <c r="B215" s="14">
        <v>44916</v>
      </c>
      <c r="C215" s="14" t="str">
        <f>TEXT(Table1[[#This Row],[Date]],"mmmm")</f>
        <v>December</v>
      </c>
      <c r="D215" t="s">
        <v>10</v>
      </c>
      <c r="E215" s="15">
        <v>2.95</v>
      </c>
      <c r="F215" s="16">
        <v>745.76</v>
      </c>
      <c r="G215" t="s">
        <v>55</v>
      </c>
      <c r="H215" t="s">
        <v>30</v>
      </c>
      <c r="I215" t="s">
        <v>46</v>
      </c>
      <c r="J215" t="s">
        <v>19</v>
      </c>
      <c r="K215" s="17">
        <f t="shared" si="6"/>
        <v>2199.992</v>
      </c>
      <c r="L215" t="str">
        <f t="shared" si="7"/>
        <v>Thursday</v>
      </c>
    </row>
    <row r="216" spans="1:12">
      <c r="A216">
        <v>10674</v>
      </c>
      <c r="B216" s="14">
        <v>44916</v>
      </c>
      <c r="C216" s="14" t="str">
        <f>TEXT(Table1[[#This Row],[Date]],"mmmm")</f>
        <v>December</v>
      </c>
      <c r="D216" t="s">
        <v>7</v>
      </c>
      <c r="E216" s="15">
        <v>4.99</v>
      </c>
      <c r="F216" s="16">
        <v>200.4</v>
      </c>
      <c r="G216" t="s">
        <v>55</v>
      </c>
      <c r="H216" t="s">
        <v>30</v>
      </c>
      <c r="I216" t="s">
        <v>46</v>
      </c>
      <c r="J216" t="s">
        <v>19</v>
      </c>
      <c r="K216" s="17">
        <f t="shared" si="6"/>
        <v>999.996</v>
      </c>
      <c r="L216" t="str">
        <f t="shared" si="7"/>
        <v>Friday</v>
      </c>
    </row>
    <row r="217" spans="1:12">
      <c r="A217">
        <v>10675</v>
      </c>
      <c r="B217" s="14">
        <v>44917</v>
      </c>
      <c r="C217" s="14" t="str">
        <f>TEXT(Table1[[#This Row],[Date]],"mmmm")</f>
        <v>December</v>
      </c>
      <c r="D217" t="s">
        <v>20</v>
      </c>
      <c r="E217" s="15">
        <v>12.99</v>
      </c>
      <c r="F217" s="16">
        <v>677.44</v>
      </c>
      <c r="G217" t="s">
        <v>55</v>
      </c>
      <c r="H217" t="s">
        <v>30</v>
      </c>
      <c r="I217" t="s">
        <v>46</v>
      </c>
      <c r="J217" t="s">
        <v>19</v>
      </c>
      <c r="K217" s="17">
        <f t="shared" si="6"/>
        <v>8799.9456</v>
      </c>
      <c r="L217" t="str">
        <f t="shared" si="7"/>
        <v>Saturday</v>
      </c>
    </row>
    <row r="218" spans="1:12">
      <c r="A218">
        <v>10676</v>
      </c>
      <c r="B218" s="14">
        <v>44917</v>
      </c>
      <c r="C218" s="14" t="str">
        <f>TEXT(Table1[[#This Row],[Date]],"mmmm")</f>
        <v>December</v>
      </c>
      <c r="D218" t="s">
        <v>13</v>
      </c>
      <c r="E218" s="15">
        <v>9.95</v>
      </c>
      <c r="F218" s="16">
        <v>241.21</v>
      </c>
      <c r="G218" t="s">
        <v>55</v>
      </c>
      <c r="H218" t="s">
        <v>30</v>
      </c>
      <c r="I218" t="s">
        <v>46</v>
      </c>
      <c r="J218" t="s">
        <v>19</v>
      </c>
      <c r="K218" s="17">
        <f t="shared" si="6"/>
        <v>2400.0395</v>
      </c>
      <c r="L218" t="str">
        <f t="shared" si="7"/>
        <v>Sunday</v>
      </c>
    </row>
    <row r="219" spans="1:12">
      <c r="A219">
        <v>10677</v>
      </c>
      <c r="B219" s="14">
        <v>44917</v>
      </c>
      <c r="C219" s="14" t="str">
        <f>TEXT(Table1[[#This Row],[Date]],"mmmm")</f>
        <v>December</v>
      </c>
      <c r="D219" t="s">
        <v>17</v>
      </c>
      <c r="E219" s="15">
        <v>3.49</v>
      </c>
      <c r="F219" s="16">
        <v>630.37</v>
      </c>
      <c r="G219" t="s">
        <v>55</v>
      </c>
      <c r="H219" t="s">
        <v>30</v>
      </c>
      <c r="I219" t="s">
        <v>46</v>
      </c>
      <c r="J219" t="s">
        <v>19</v>
      </c>
      <c r="K219" s="17">
        <f t="shared" si="6"/>
        <v>2199.9913</v>
      </c>
      <c r="L219" t="str">
        <f t="shared" si="7"/>
        <v>Monday</v>
      </c>
    </row>
    <row r="220" spans="1:12">
      <c r="A220">
        <v>10678</v>
      </c>
      <c r="B220" s="14">
        <v>44917</v>
      </c>
      <c r="C220" s="14" t="str">
        <f>TEXT(Table1[[#This Row],[Date]],"mmmm")</f>
        <v>December</v>
      </c>
      <c r="D220" t="s">
        <v>10</v>
      </c>
      <c r="E220" s="15">
        <v>2.95</v>
      </c>
      <c r="F220" s="16">
        <v>745.76</v>
      </c>
      <c r="G220" t="s">
        <v>55</v>
      </c>
      <c r="H220" t="s">
        <v>30</v>
      </c>
      <c r="I220" t="s">
        <v>46</v>
      </c>
      <c r="J220" t="s">
        <v>19</v>
      </c>
      <c r="K220" s="17">
        <f t="shared" si="6"/>
        <v>2199.992</v>
      </c>
      <c r="L220" t="str">
        <f t="shared" si="7"/>
        <v>Tuesday</v>
      </c>
    </row>
    <row r="221" spans="1:12">
      <c r="A221">
        <v>10679</v>
      </c>
      <c r="B221" s="14">
        <v>44917</v>
      </c>
      <c r="C221" s="14" t="str">
        <f>TEXT(Table1[[#This Row],[Date]],"mmmm")</f>
        <v>December</v>
      </c>
      <c r="D221" t="s">
        <v>7</v>
      </c>
      <c r="E221" s="15">
        <v>4.99</v>
      </c>
      <c r="F221" s="16">
        <v>200.4</v>
      </c>
      <c r="G221" t="s">
        <v>55</v>
      </c>
      <c r="H221" t="s">
        <v>30</v>
      </c>
      <c r="I221" t="s">
        <v>46</v>
      </c>
      <c r="J221" t="s">
        <v>19</v>
      </c>
      <c r="K221" s="17">
        <f t="shared" si="6"/>
        <v>999.996</v>
      </c>
      <c r="L221" t="str">
        <f t="shared" si="7"/>
        <v>Wednesday</v>
      </c>
    </row>
    <row r="222" spans="1:12">
      <c r="A222">
        <v>10680</v>
      </c>
      <c r="B222" s="14">
        <v>44918</v>
      </c>
      <c r="C222" s="14" t="str">
        <f>TEXT(Table1[[#This Row],[Date]],"mmmm")</f>
        <v>December</v>
      </c>
      <c r="D222" t="s">
        <v>20</v>
      </c>
      <c r="E222" s="15">
        <v>12.99</v>
      </c>
      <c r="F222" s="16">
        <v>646.65</v>
      </c>
      <c r="G222" t="s">
        <v>55</v>
      </c>
      <c r="H222" t="s">
        <v>30</v>
      </c>
      <c r="I222" t="s">
        <v>46</v>
      </c>
      <c r="J222" t="s">
        <v>19</v>
      </c>
      <c r="K222" s="17">
        <f t="shared" si="6"/>
        <v>8399.9835</v>
      </c>
      <c r="L222" t="str">
        <f t="shared" si="7"/>
        <v>Thursday</v>
      </c>
    </row>
    <row r="223" spans="1:12">
      <c r="A223">
        <v>10681</v>
      </c>
      <c r="B223" s="14">
        <v>44918</v>
      </c>
      <c r="C223" s="14" t="str">
        <f>TEXT(Table1[[#This Row],[Date]],"mmmm")</f>
        <v>December</v>
      </c>
      <c r="D223" t="s">
        <v>13</v>
      </c>
      <c r="E223" s="15">
        <v>9.95</v>
      </c>
      <c r="F223" s="16">
        <v>241.21</v>
      </c>
      <c r="G223" t="s">
        <v>55</v>
      </c>
      <c r="H223" t="s">
        <v>30</v>
      </c>
      <c r="I223" t="s">
        <v>46</v>
      </c>
      <c r="J223" t="s">
        <v>19</v>
      </c>
      <c r="K223" s="17">
        <f t="shared" si="6"/>
        <v>2400.0395</v>
      </c>
      <c r="L223" t="str">
        <f t="shared" si="7"/>
        <v>Friday</v>
      </c>
    </row>
    <row r="224" spans="1:12">
      <c r="A224">
        <v>10682</v>
      </c>
      <c r="B224" s="14">
        <v>44918</v>
      </c>
      <c r="C224" s="14" t="str">
        <f>TEXT(Table1[[#This Row],[Date]],"mmmm")</f>
        <v>December</v>
      </c>
      <c r="D224" t="s">
        <v>17</v>
      </c>
      <c r="E224" s="15">
        <v>3.49</v>
      </c>
      <c r="F224" s="16">
        <v>630.37</v>
      </c>
      <c r="G224" t="s">
        <v>55</v>
      </c>
      <c r="H224" t="s">
        <v>30</v>
      </c>
      <c r="I224" t="s">
        <v>46</v>
      </c>
      <c r="J224" t="s">
        <v>19</v>
      </c>
      <c r="K224" s="17">
        <f t="shared" si="6"/>
        <v>2199.9913</v>
      </c>
      <c r="L224" t="str">
        <f t="shared" si="7"/>
        <v>Saturday</v>
      </c>
    </row>
    <row r="225" spans="1:12">
      <c r="A225">
        <v>10683</v>
      </c>
      <c r="B225" s="14">
        <v>44918</v>
      </c>
      <c r="C225" s="14" t="str">
        <f>TEXT(Table1[[#This Row],[Date]],"mmmm")</f>
        <v>December</v>
      </c>
      <c r="D225" t="s">
        <v>10</v>
      </c>
      <c r="E225" s="15">
        <v>2.95</v>
      </c>
      <c r="F225" s="16">
        <v>677.97</v>
      </c>
      <c r="G225" t="s">
        <v>55</v>
      </c>
      <c r="H225" t="s">
        <v>30</v>
      </c>
      <c r="I225" t="s">
        <v>46</v>
      </c>
      <c r="J225" t="s">
        <v>19</v>
      </c>
      <c r="K225" s="17">
        <f t="shared" si="6"/>
        <v>2000.0115</v>
      </c>
      <c r="L225" t="str">
        <f t="shared" si="7"/>
        <v>Sunday</v>
      </c>
    </row>
    <row r="226" spans="1:12">
      <c r="A226">
        <v>10684</v>
      </c>
      <c r="B226" s="14">
        <v>44918</v>
      </c>
      <c r="C226" s="14" t="str">
        <f>TEXT(Table1[[#This Row],[Date]],"mmmm")</f>
        <v>December</v>
      </c>
      <c r="D226" t="s">
        <v>7</v>
      </c>
      <c r="E226" s="15">
        <v>4.99</v>
      </c>
      <c r="F226" s="16">
        <v>200.4</v>
      </c>
      <c r="G226" t="s">
        <v>55</v>
      </c>
      <c r="H226" t="s">
        <v>30</v>
      </c>
      <c r="I226" t="s">
        <v>46</v>
      </c>
      <c r="J226" t="s">
        <v>19</v>
      </c>
      <c r="K226" s="17">
        <f t="shared" si="6"/>
        <v>999.996</v>
      </c>
      <c r="L226" t="str">
        <f t="shared" si="7"/>
        <v>Monday</v>
      </c>
    </row>
    <row r="227" spans="1:12">
      <c r="A227">
        <v>10685</v>
      </c>
      <c r="B227" s="14">
        <v>44919</v>
      </c>
      <c r="C227" s="14" t="str">
        <f>TEXT(Table1[[#This Row],[Date]],"mmmm")</f>
        <v>December</v>
      </c>
      <c r="D227" t="s">
        <v>20</v>
      </c>
      <c r="E227" s="15">
        <v>12.99</v>
      </c>
      <c r="F227" s="16">
        <v>677.44</v>
      </c>
      <c r="G227" t="s">
        <v>55</v>
      </c>
      <c r="H227" t="s">
        <v>30</v>
      </c>
      <c r="I227" t="s">
        <v>46</v>
      </c>
      <c r="J227" t="s">
        <v>19</v>
      </c>
      <c r="K227" s="17">
        <f t="shared" si="6"/>
        <v>8799.9456</v>
      </c>
      <c r="L227" t="str">
        <f t="shared" si="7"/>
        <v>Tuesday</v>
      </c>
    </row>
    <row r="228" spans="1:12">
      <c r="A228">
        <v>10686</v>
      </c>
      <c r="B228" s="14">
        <v>44919</v>
      </c>
      <c r="C228" s="14" t="str">
        <f>TEXT(Table1[[#This Row],[Date]],"mmmm")</f>
        <v>December</v>
      </c>
      <c r="D228" t="s">
        <v>13</v>
      </c>
      <c r="E228" s="15">
        <v>9.95</v>
      </c>
      <c r="F228" s="16">
        <v>241.21</v>
      </c>
      <c r="G228" t="s">
        <v>55</v>
      </c>
      <c r="H228" t="s">
        <v>30</v>
      </c>
      <c r="I228" t="s">
        <v>46</v>
      </c>
      <c r="J228" t="s">
        <v>19</v>
      </c>
      <c r="K228" s="17">
        <f t="shared" si="6"/>
        <v>2400.0395</v>
      </c>
      <c r="L228" t="str">
        <f t="shared" si="7"/>
        <v>Wednesday</v>
      </c>
    </row>
    <row r="229" spans="1:12">
      <c r="A229">
        <v>10687</v>
      </c>
      <c r="B229" s="14">
        <v>44919</v>
      </c>
      <c r="C229" s="14" t="str">
        <f>TEXT(Table1[[#This Row],[Date]],"mmmm")</f>
        <v>December</v>
      </c>
      <c r="D229" t="s">
        <v>17</v>
      </c>
      <c r="E229" s="15">
        <v>3.49</v>
      </c>
      <c r="F229" s="16">
        <v>630.37</v>
      </c>
      <c r="G229" t="s">
        <v>55</v>
      </c>
      <c r="H229" t="s">
        <v>30</v>
      </c>
      <c r="I229" t="s">
        <v>56</v>
      </c>
      <c r="J229" t="s">
        <v>9</v>
      </c>
      <c r="K229" s="17">
        <f t="shared" si="6"/>
        <v>2199.9913</v>
      </c>
      <c r="L229" t="str">
        <f t="shared" si="7"/>
        <v>Thursday</v>
      </c>
    </row>
    <row r="230" spans="1:12">
      <c r="A230">
        <v>10688</v>
      </c>
      <c r="B230" s="14">
        <v>44919</v>
      </c>
      <c r="C230" s="14" t="str">
        <f>TEXT(Table1[[#This Row],[Date]],"mmmm")</f>
        <v>December</v>
      </c>
      <c r="D230" t="s">
        <v>10</v>
      </c>
      <c r="E230" s="15">
        <v>2.95</v>
      </c>
      <c r="F230" s="16">
        <v>677.97</v>
      </c>
      <c r="G230" t="s">
        <v>55</v>
      </c>
      <c r="H230" t="s">
        <v>30</v>
      </c>
      <c r="I230" t="s">
        <v>56</v>
      </c>
      <c r="J230" t="s">
        <v>9</v>
      </c>
      <c r="K230" s="17">
        <f t="shared" si="6"/>
        <v>2000.0115</v>
      </c>
      <c r="L230" t="str">
        <f t="shared" si="7"/>
        <v>Friday</v>
      </c>
    </row>
    <row r="231" spans="1:12">
      <c r="A231">
        <v>10689</v>
      </c>
      <c r="B231" s="14">
        <v>44919</v>
      </c>
      <c r="C231" s="14" t="str">
        <f>TEXT(Table1[[#This Row],[Date]],"mmmm")</f>
        <v>December</v>
      </c>
      <c r="D231" t="s">
        <v>7</v>
      </c>
      <c r="E231" s="15">
        <v>4.99</v>
      </c>
      <c r="F231" s="16">
        <v>200.4</v>
      </c>
      <c r="G231" t="s">
        <v>55</v>
      </c>
      <c r="H231" t="s">
        <v>30</v>
      </c>
      <c r="I231" t="s">
        <v>56</v>
      </c>
      <c r="J231" t="s">
        <v>9</v>
      </c>
      <c r="K231" s="17">
        <f t="shared" si="6"/>
        <v>999.996</v>
      </c>
      <c r="L231" t="str">
        <f t="shared" si="7"/>
        <v>Saturday</v>
      </c>
    </row>
    <row r="232" spans="1:12">
      <c r="A232">
        <v>10690</v>
      </c>
      <c r="B232" s="14">
        <v>44920</v>
      </c>
      <c r="C232" s="14" t="str">
        <f>TEXT(Table1[[#This Row],[Date]],"mmmm")</f>
        <v>December</v>
      </c>
      <c r="D232" t="s">
        <v>20</v>
      </c>
      <c r="E232" s="15">
        <v>12.99</v>
      </c>
      <c r="F232" s="16">
        <v>677.44</v>
      </c>
      <c r="G232" t="s">
        <v>55</v>
      </c>
      <c r="H232" t="s">
        <v>30</v>
      </c>
      <c r="I232" t="s">
        <v>56</v>
      </c>
      <c r="J232" t="s">
        <v>9</v>
      </c>
      <c r="K232" s="17">
        <f t="shared" si="6"/>
        <v>8799.9456</v>
      </c>
      <c r="L232" t="str">
        <f t="shared" si="7"/>
        <v>Sunday</v>
      </c>
    </row>
    <row r="233" spans="1:12">
      <c r="A233">
        <v>10691</v>
      </c>
      <c r="B233" s="14">
        <v>44920</v>
      </c>
      <c r="C233" s="14" t="str">
        <f>TEXT(Table1[[#This Row],[Date]],"mmmm")</f>
        <v>December</v>
      </c>
      <c r="D233" t="s">
        <v>13</v>
      </c>
      <c r="E233" s="15">
        <v>9.95</v>
      </c>
      <c r="F233" s="16">
        <v>261.31</v>
      </c>
      <c r="G233" t="s">
        <v>55</v>
      </c>
      <c r="H233" t="s">
        <v>30</v>
      </c>
      <c r="I233" t="s">
        <v>56</v>
      </c>
      <c r="J233" t="s">
        <v>9</v>
      </c>
      <c r="K233" s="17">
        <f t="shared" si="6"/>
        <v>2600.0345</v>
      </c>
      <c r="L233" t="str">
        <f t="shared" si="7"/>
        <v>Monday</v>
      </c>
    </row>
    <row r="234" spans="1:12">
      <c r="A234">
        <v>10692</v>
      </c>
      <c r="B234" s="14">
        <v>44920</v>
      </c>
      <c r="C234" s="14" t="str">
        <f>TEXT(Table1[[#This Row],[Date]],"mmmm")</f>
        <v>December</v>
      </c>
      <c r="D234" t="s">
        <v>17</v>
      </c>
      <c r="E234" s="15">
        <v>3.49</v>
      </c>
      <c r="F234" s="16">
        <v>630.37</v>
      </c>
      <c r="G234" t="s">
        <v>55</v>
      </c>
      <c r="H234" t="s">
        <v>30</v>
      </c>
      <c r="I234" t="s">
        <v>56</v>
      </c>
      <c r="J234" t="s">
        <v>9</v>
      </c>
      <c r="K234" s="17">
        <f t="shared" si="6"/>
        <v>2199.9913</v>
      </c>
      <c r="L234" t="str">
        <f t="shared" si="7"/>
        <v>Tuesday</v>
      </c>
    </row>
    <row r="235" spans="1:12">
      <c r="A235">
        <v>10693</v>
      </c>
      <c r="B235" s="14">
        <v>44920</v>
      </c>
      <c r="C235" s="14" t="str">
        <f>TEXT(Table1[[#This Row],[Date]],"mmmm")</f>
        <v>December</v>
      </c>
      <c r="D235" t="s">
        <v>10</v>
      </c>
      <c r="E235" s="15">
        <v>2.95</v>
      </c>
      <c r="F235" s="16">
        <v>677.97</v>
      </c>
      <c r="G235" t="s">
        <v>55</v>
      </c>
      <c r="H235" t="s">
        <v>30</v>
      </c>
      <c r="I235" t="s">
        <v>56</v>
      </c>
      <c r="J235" t="s">
        <v>9</v>
      </c>
      <c r="K235" s="17">
        <f t="shared" si="6"/>
        <v>2000.0115</v>
      </c>
      <c r="L235" t="str">
        <f t="shared" si="7"/>
        <v>Wednesday</v>
      </c>
    </row>
    <row r="236" spans="1:12">
      <c r="A236">
        <v>10694</v>
      </c>
      <c r="B236" s="14">
        <v>44920</v>
      </c>
      <c r="C236" s="14" t="str">
        <f>TEXT(Table1[[#This Row],[Date]],"mmmm")</f>
        <v>December</v>
      </c>
      <c r="D236" t="s">
        <v>7</v>
      </c>
      <c r="E236" s="15">
        <v>4.99</v>
      </c>
      <c r="F236" s="16">
        <v>200.4</v>
      </c>
      <c r="G236" t="s">
        <v>55</v>
      </c>
      <c r="H236" t="s">
        <v>30</v>
      </c>
      <c r="I236" t="s">
        <v>56</v>
      </c>
      <c r="J236" t="s">
        <v>9</v>
      </c>
      <c r="K236" s="17">
        <f t="shared" si="6"/>
        <v>999.996</v>
      </c>
      <c r="L236" t="str">
        <f t="shared" si="7"/>
        <v>Thursday</v>
      </c>
    </row>
    <row r="237" spans="1:12">
      <c r="A237">
        <v>10695</v>
      </c>
      <c r="B237" s="14">
        <v>44921</v>
      </c>
      <c r="C237" s="14" t="str">
        <f>TEXT(Table1[[#This Row],[Date]],"mmmm")</f>
        <v>December</v>
      </c>
      <c r="D237" t="s">
        <v>20</v>
      </c>
      <c r="E237" s="15">
        <v>12.99</v>
      </c>
      <c r="F237" s="16">
        <v>692.84</v>
      </c>
      <c r="G237" t="s">
        <v>55</v>
      </c>
      <c r="H237" t="s">
        <v>30</v>
      </c>
      <c r="I237" t="s">
        <v>56</v>
      </c>
      <c r="J237" t="s">
        <v>9</v>
      </c>
      <c r="K237" s="17">
        <f t="shared" si="6"/>
        <v>8999.9916</v>
      </c>
      <c r="L237" t="str">
        <f t="shared" si="7"/>
        <v>Friday</v>
      </c>
    </row>
    <row r="238" spans="1:12">
      <c r="A238">
        <v>10696</v>
      </c>
      <c r="B238" s="14">
        <v>44921</v>
      </c>
      <c r="C238" s="14" t="str">
        <f>TEXT(Table1[[#This Row],[Date]],"mmmm")</f>
        <v>December</v>
      </c>
      <c r="D238" t="s">
        <v>13</v>
      </c>
      <c r="E238" s="15">
        <v>9.95</v>
      </c>
      <c r="F238" s="16">
        <v>281.41</v>
      </c>
      <c r="G238" t="s">
        <v>55</v>
      </c>
      <c r="H238" t="s">
        <v>30</v>
      </c>
      <c r="I238" t="s">
        <v>56</v>
      </c>
      <c r="J238" t="s">
        <v>9</v>
      </c>
      <c r="K238" s="17">
        <f t="shared" si="6"/>
        <v>2800.0295</v>
      </c>
      <c r="L238" t="str">
        <f t="shared" si="7"/>
        <v>Saturday</v>
      </c>
    </row>
    <row r="239" spans="1:12">
      <c r="A239">
        <v>10697</v>
      </c>
      <c r="B239" s="14">
        <v>44921</v>
      </c>
      <c r="C239" s="14" t="str">
        <f>TEXT(Table1[[#This Row],[Date]],"mmmm")</f>
        <v>December</v>
      </c>
      <c r="D239" t="s">
        <v>17</v>
      </c>
      <c r="E239" s="15">
        <v>3.49</v>
      </c>
      <c r="F239" s="16">
        <v>630.37</v>
      </c>
      <c r="G239" t="s">
        <v>55</v>
      </c>
      <c r="H239" t="s">
        <v>30</v>
      </c>
      <c r="I239" t="s">
        <v>56</v>
      </c>
      <c r="J239" t="s">
        <v>9</v>
      </c>
      <c r="K239" s="17">
        <f t="shared" si="6"/>
        <v>2199.9913</v>
      </c>
      <c r="L239" t="str">
        <f t="shared" si="7"/>
        <v>Sunday</v>
      </c>
    </row>
    <row r="240" spans="1:12">
      <c r="A240">
        <v>10698</v>
      </c>
      <c r="B240" s="14">
        <v>44921</v>
      </c>
      <c r="C240" s="14" t="str">
        <f>TEXT(Table1[[#This Row],[Date]],"mmmm")</f>
        <v>December</v>
      </c>
      <c r="D240" t="s">
        <v>10</v>
      </c>
      <c r="E240" s="15">
        <v>2.95</v>
      </c>
      <c r="F240" s="16">
        <v>677.97</v>
      </c>
      <c r="G240" t="s">
        <v>55</v>
      </c>
      <c r="H240" t="s">
        <v>30</v>
      </c>
      <c r="I240" t="s">
        <v>56</v>
      </c>
      <c r="J240" t="s">
        <v>9</v>
      </c>
      <c r="K240" s="17">
        <f t="shared" si="6"/>
        <v>2000.0115</v>
      </c>
      <c r="L240" t="str">
        <f t="shared" si="7"/>
        <v>Monday</v>
      </c>
    </row>
    <row r="241" spans="1:12">
      <c r="A241">
        <v>10699</v>
      </c>
      <c r="B241" s="14">
        <v>44921</v>
      </c>
      <c r="C241" s="14" t="str">
        <f>TEXT(Table1[[#This Row],[Date]],"mmmm")</f>
        <v>December</v>
      </c>
      <c r="D241" t="s">
        <v>7</v>
      </c>
      <c r="E241" s="15">
        <v>4.99</v>
      </c>
      <c r="F241" s="16">
        <v>200.4</v>
      </c>
      <c r="G241" t="s">
        <v>55</v>
      </c>
      <c r="H241" t="s">
        <v>30</v>
      </c>
      <c r="I241" t="s">
        <v>56</v>
      </c>
      <c r="J241" t="s">
        <v>9</v>
      </c>
      <c r="K241" s="17">
        <f t="shared" si="6"/>
        <v>999.996</v>
      </c>
      <c r="L241" t="str">
        <f t="shared" si="7"/>
        <v>Tuesday</v>
      </c>
    </row>
    <row r="242" spans="1:12">
      <c r="A242">
        <v>10700</v>
      </c>
      <c r="B242" s="14">
        <v>44922</v>
      </c>
      <c r="C242" s="14" t="str">
        <f>TEXT(Table1[[#This Row],[Date]],"mmmm")</f>
        <v>December</v>
      </c>
      <c r="D242" t="s">
        <v>20</v>
      </c>
      <c r="E242" s="15">
        <v>12.99</v>
      </c>
      <c r="F242" s="16">
        <v>692.84</v>
      </c>
      <c r="G242" t="s">
        <v>55</v>
      </c>
      <c r="H242" t="s">
        <v>30</v>
      </c>
      <c r="I242" t="s">
        <v>56</v>
      </c>
      <c r="J242" t="s">
        <v>9</v>
      </c>
      <c r="K242" s="17">
        <f t="shared" si="6"/>
        <v>8999.9916</v>
      </c>
      <c r="L242" t="str">
        <f t="shared" si="7"/>
        <v>Wednesday</v>
      </c>
    </row>
    <row r="243" spans="1:12">
      <c r="A243">
        <v>10701</v>
      </c>
      <c r="B243" s="14">
        <v>44922</v>
      </c>
      <c r="C243" s="14" t="str">
        <f>TEXT(Table1[[#This Row],[Date]],"mmmm")</f>
        <v>December</v>
      </c>
      <c r="D243" t="s">
        <v>13</v>
      </c>
      <c r="E243" s="15">
        <v>9.95</v>
      </c>
      <c r="F243" s="16">
        <v>281.41</v>
      </c>
      <c r="G243" t="s">
        <v>55</v>
      </c>
      <c r="H243" t="s">
        <v>30</v>
      </c>
      <c r="I243" t="s">
        <v>56</v>
      </c>
      <c r="J243" t="s">
        <v>9</v>
      </c>
      <c r="K243" s="17">
        <f t="shared" si="6"/>
        <v>2800.0295</v>
      </c>
      <c r="L243" t="str">
        <f t="shared" si="7"/>
        <v>Thursday</v>
      </c>
    </row>
    <row r="244" spans="1:12">
      <c r="A244">
        <v>10702</v>
      </c>
      <c r="B244" s="14">
        <v>44922</v>
      </c>
      <c r="C244" s="14" t="str">
        <f>TEXT(Table1[[#This Row],[Date]],"mmmm")</f>
        <v>December</v>
      </c>
      <c r="D244" t="s">
        <v>17</v>
      </c>
      <c r="E244" s="15">
        <v>3.49</v>
      </c>
      <c r="F244" s="16">
        <v>630.37</v>
      </c>
      <c r="G244" t="s">
        <v>55</v>
      </c>
      <c r="H244" t="s">
        <v>30</v>
      </c>
      <c r="I244" t="s">
        <v>56</v>
      </c>
      <c r="J244" t="s">
        <v>9</v>
      </c>
      <c r="K244" s="17">
        <f t="shared" si="6"/>
        <v>2199.9913</v>
      </c>
      <c r="L244" t="str">
        <f t="shared" si="7"/>
        <v>Friday</v>
      </c>
    </row>
    <row r="245" spans="1:12">
      <c r="A245">
        <v>10703</v>
      </c>
      <c r="B245" s="14">
        <v>44922</v>
      </c>
      <c r="C245" s="14" t="str">
        <f>TEXT(Table1[[#This Row],[Date]],"mmmm")</f>
        <v>December</v>
      </c>
      <c r="D245" t="s">
        <v>10</v>
      </c>
      <c r="E245" s="15">
        <v>2.95</v>
      </c>
      <c r="F245" s="16">
        <v>677.97</v>
      </c>
      <c r="G245" t="s">
        <v>55</v>
      </c>
      <c r="H245" t="s">
        <v>35</v>
      </c>
      <c r="I245" t="s">
        <v>56</v>
      </c>
      <c r="J245" t="s">
        <v>9</v>
      </c>
      <c r="K245" s="17">
        <f t="shared" si="6"/>
        <v>2000.0115</v>
      </c>
      <c r="L245" t="str">
        <f t="shared" si="7"/>
        <v>Saturday</v>
      </c>
    </row>
    <row r="246" spans="1:12">
      <c r="A246">
        <v>10704</v>
      </c>
      <c r="B246" s="14">
        <v>44922</v>
      </c>
      <c r="C246" s="14" t="str">
        <f>TEXT(Table1[[#This Row],[Date]],"mmmm")</f>
        <v>December</v>
      </c>
      <c r="D246" t="s">
        <v>7</v>
      </c>
      <c r="E246" s="15">
        <v>4.99</v>
      </c>
      <c r="F246" s="16">
        <v>200.4</v>
      </c>
      <c r="G246" t="s">
        <v>52</v>
      </c>
      <c r="H246" t="s">
        <v>35</v>
      </c>
      <c r="I246" t="s">
        <v>56</v>
      </c>
      <c r="J246" t="s">
        <v>9</v>
      </c>
      <c r="K246" s="17">
        <f t="shared" si="6"/>
        <v>999.996</v>
      </c>
      <c r="L246" t="str">
        <f t="shared" si="7"/>
        <v>Sunday</v>
      </c>
    </row>
    <row r="247" spans="1:12">
      <c r="A247">
        <v>10705</v>
      </c>
      <c r="B247" s="14">
        <v>44923</v>
      </c>
      <c r="C247" s="14" t="str">
        <f>TEXT(Table1[[#This Row],[Date]],"mmmm")</f>
        <v>December</v>
      </c>
      <c r="D247" t="s">
        <v>20</v>
      </c>
      <c r="E247" s="15">
        <v>12.99</v>
      </c>
      <c r="F247" s="16">
        <v>723.63</v>
      </c>
      <c r="G247" t="s">
        <v>52</v>
      </c>
      <c r="H247" t="s">
        <v>35</v>
      </c>
      <c r="I247" t="s">
        <v>56</v>
      </c>
      <c r="J247" t="s">
        <v>9</v>
      </c>
      <c r="K247" s="17">
        <f t="shared" si="6"/>
        <v>9399.9537</v>
      </c>
      <c r="L247" t="str">
        <f t="shared" si="7"/>
        <v>Monday</v>
      </c>
    </row>
    <row r="248" spans="1:12">
      <c r="A248">
        <v>10706</v>
      </c>
      <c r="B248" s="14">
        <v>44923</v>
      </c>
      <c r="C248" s="14" t="str">
        <f>TEXT(Table1[[#This Row],[Date]],"mmmm")</f>
        <v>December</v>
      </c>
      <c r="D248" t="s">
        <v>13</v>
      </c>
      <c r="E248" s="15">
        <v>9.95</v>
      </c>
      <c r="F248" s="16">
        <v>301.51</v>
      </c>
      <c r="G248" t="s">
        <v>52</v>
      </c>
      <c r="H248" t="s">
        <v>35</v>
      </c>
      <c r="I248" t="s">
        <v>56</v>
      </c>
      <c r="J248" t="s">
        <v>9</v>
      </c>
      <c r="K248" s="17">
        <f t="shared" si="6"/>
        <v>3000.0245</v>
      </c>
      <c r="L248" t="str">
        <f t="shared" si="7"/>
        <v>Tuesday</v>
      </c>
    </row>
    <row r="249" spans="1:12">
      <c r="A249">
        <v>10707</v>
      </c>
      <c r="B249" s="14">
        <v>44923</v>
      </c>
      <c r="C249" s="14" t="str">
        <f>TEXT(Table1[[#This Row],[Date]],"mmmm")</f>
        <v>December</v>
      </c>
      <c r="D249" t="s">
        <v>17</v>
      </c>
      <c r="E249" s="15">
        <v>3.49</v>
      </c>
      <c r="F249" s="16">
        <v>630.37</v>
      </c>
      <c r="G249" t="s">
        <v>52</v>
      </c>
      <c r="H249" t="s">
        <v>35</v>
      </c>
      <c r="I249" t="s">
        <v>56</v>
      </c>
      <c r="J249" t="s">
        <v>9</v>
      </c>
      <c r="K249" s="17">
        <f t="shared" si="6"/>
        <v>2199.9913</v>
      </c>
      <c r="L249" t="str">
        <f t="shared" si="7"/>
        <v>Wednesday</v>
      </c>
    </row>
    <row r="250" spans="1:12">
      <c r="A250">
        <v>10708</v>
      </c>
      <c r="B250" s="14">
        <v>44923</v>
      </c>
      <c r="C250" s="14" t="str">
        <f>TEXT(Table1[[#This Row],[Date]],"mmmm")</f>
        <v>December</v>
      </c>
      <c r="D250" t="s">
        <v>10</v>
      </c>
      <c r="E250" s="15">
        <v>2.95</v>
      </c>
      <c r="F250" s="16">
        <v>677.97</v>
      </c>
      <c r="G250" t="s">
        <v>52</v>
      </c>
      <c r="H250" t="s">
        <v>35</v>
      </c>
      <c r="I250" t="s">
        <v>56</v>
      </c>
      <c r="J250" t="s">
        <v>9</v>
      </c>
      <c r="K250" s="17">
        <f t="shared" si="6"/>
        <v>2000.0115</v>
      </c>
      <c r="L250" t="str">
        <f t="shared" si="7"/>
        <v>Thursday</v>
      </c>
    </row>
    <row r="251" spans="1:12">
      <c r="A251">
        <v>10709</v>
      </c>
      <c r="B251" s="14">
        <v>44923</v>
      </c>
      <c r="C251" s="14" t="str">
        <f>TEXT(Table1[[#This Row],[Date]],"mmmm")</f>
        <v>December</v>
      </c>
      <c r="D251" t="s">
        <v>7</v>
      </c>
      <c r="E251" s="15">
        <v>4.99</v>
      </c>
      <c r="F251" s="16">
        <v>200.4</v>
      </c>
      <c r="G251" t="s">
        <v>52</v>
      </c>
      <c r="H251" t="s">
        <v>35</v>
      </c>
      <c r="I251" t="s">
        <v>56</v>
      </c>
      <c r="J251" t="s">
        <v>9</v>
      </c>
      <c r="K251" s="17">
        <f t="shared" si="6"/>
        <v>999.996</v>
      </c>
      <c r="L251" t="str">
        <f t="shared" si="7"/>
        <v>Friday</v>
      </c>
    </row>
    <row r="252" spans="1:12">
      <c r="A252">
        <v>10710</v>
      </c>
      <c r="B252" s="14">
        <v>44924</v>
      </c>
      <c r="C252" s="14" t="str">
        <f>TEXT(Table1[[#This Row],[Date]],"mmmm")</f>
        <v>December</v>
      </c>
      <c r="D252" t="s">
        <v>20</v>
      </c>
      <c r="E252" s="15">
        <v>12.99</v>
      </c>
      <c r="F252" s="16">
        <v>754.43</v>
      </c>
      <c r="G252" t="s">
        <v>52</v>
      </c>
      <c r="H252" t="s">
        <v>35</v>
      </c>
      <c r="I252" t="s">
        <v>56</v>
      </c>
      <c r="J252" t="s">
        <v>9</v>
      </c>
      <c r="K252" s="17">
        <f t="shared" si="6"/>
        <v>9800.0457</v>
      </c>
      <c r="L252" t="str">
        <f t="shared" si="7"/>
        <v>Saturday</v>
      </c>
    </row>
    <row r="253" spans="1:12">
      <c r="A253">
        <v>10711</v>
      </c>
      <c r="B253" s="14">
        <v>44924</v>
      </c>
      <c r="C253" s="14" t="str">
        <f>TEXT(Table1[[#This Row],[Date]],"mmmm")</f>
        <v>December</v>
      </c>
      <c r="D253" t="s">
        <v>13</v>
      </c>
      <c r="E253" s="15">
        <v>9.95</v>
      </c>
      <c r="F253" s="16">
        <v>281.41</v>
      </c>
      <c r="G253" t="s">
        <v>52</v>
      </c>
      <c r="H253" t="s">
        <v>35</v>
      </c>
      <c r="I253" t="s">
        <v>56</v>
      </c>
      <c r="J253" t="s">
        <v>9</v>
      </c>
      <c r="K253" s="17">
        <f t="shared" si="6"/>
        <v>2800.0295</v>
      </c>
      <c r="L253" t="str">
        <f t="shared" si="7"/>
        <v>Sunday</v>
      </c>
    </row>
    <row r="254" spans="1:12">
      <c r="A254">
        <v>10712</v>
      </c>
      <c r="B254" s="14">
        <v>44924</v>
      </c>
      <c r="C254" s="14" t="str">
        <f>TEXT(Table1[[#This Row],[Date]],"mmmm")</f>
        <v>December</v>
      </c>
      <c r="D254" t="s">
        <v>17</v>
      </c>
      <c r="E254" s="15">
        <v>3.49</v>
      </c>
      <c r="F254" s="16">
        <v>630.37</v>
      </c>
      <c r="G254" t="s">
        <v>52</v>
      </c>
      <c r="H254" t="s">
        <v>35</v>
      </c>
      <c r="I254" t="s">
        <v>56</v>
      </c>
      <c r="J254" t="s">
        <v>9</v>
      </c>
      <c r="K254" s="17">
        <f t="shared" si="6"/>
        <v>2199.9913</v>
      </c>
      <c r="L254" t="str">
        <f t="shared" si="7"/>
        <v>Monday</v>
      </c>
    </row>
    <row r="255" spans="1:12">
      <c r="A255">
        <v>10713</v>
      </c>
      <c r="B255" s="14">
        <v>44924</v>
      </c>
      <c r="C255" s="14" t="str">
        <f>TEXT(Table1[[#This Row],[Date]],"mmmm")</f>
        <v>December</v>
      </c>
      <c r="D255" t="s">
        <v>10</v>
      </c>
      <c r="E255" s="15">
        <v>2.95</v>
      </c>
      <c r="F255" s="16">
        <v>677.97</v>
      </c>
      <c r="G255" t="s">
        <v>52</v>
      </c>
      <c r="H255" t="s">
        <v>35</v>
      </c>
      <c r="I255" t="s">
        <v>56</v>
      </c>
      <c r="J255" t="s">
        <v>9</v>
      </c>
      <c r="K255" s="17">
        <f t="shared" si="6"/>
        <v>2000.0115</v>
      </c>
      <c r="L255" t="str">
        <f t="shared" si="7"/>
        <v>Tuesday</v>
      </c>
    </row>
    <row r="259" ht="56" spans="12:13">
      <c r="L259" s="11" t="str">
        <f>"Best Day: "&amp;Bestday</f>
        <v>Best Day: Tuesday</v>
      </c>
      <c r="M259" s="11" t="str">
        <f>"Top Manager:"&amp;manager</f>
        <v>Top Manager:Joao Silva</v>
      </c>
    </row>
    <row r="260" spans="10:10">
      <c r="J260" s="11" t="e">
        <f>"🏆 "&amp;Branch&amp;"
"&amp;"Total Sales: "&amp;TEXT(Total,"$#,##0")</f>
        <v>#REF!</v>
      </c>
    </row>
  </sheetData>
  <sheetProtection sheet="1" objects="1" scenarios="1"/>
  <pageMargins left="0.7" right="0.7" top="0.75" bottom="0.75" header="0.3" footer="0.3"/>
  <headerFooter alignWithMargins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53"/>
  <sheetViews>
    <sheetView topLeftCell="A17" workbookViewId="0">
      <selection activeCell="G39" sqref="G39"/>
    </sheetView>
  </sheetViews>
  <sheetFormatPr defaultColWidth="9" defaultRowHeight="14"/>
  <cols>
    <col min="2" max="2" width="11.3666666666667" customWidth="1"/>
    <col min="6" max="8" width="11.45" customWidth="1"/>
    <col min="12" max="12" width="7.26666666666667" customWidth="1"/>
    <col min="13" max="13" width="5.63333333333333" customWidth="1"/>
    <col min="14" max="14" width="7" customWidth="1"/>
    <col min="15" max="15" width="3.36666666666667" customWidth="1"/>
    <col min="16" max="16" width="8.54166666666667" customWidth="1"/>
  </cols>
  <sheetData>
    <row r="1" ht="4" customHeight="1"/>
    <row r="2" spans="8:8">
      <c r="H2" t="s">
        <v>105</v>
      </c>
    </row>
    <row r="3" spans="8:8">
      <c r="H3" t="s">
        <v>58</v>
      </c>
    </row>
    <row r="4" spans="8:20">
      <c r="H4" t="s">
        <v>10</v>
      </c>
      <c r="R4" t="s">
        <v>105</v>
      </c>
      <c r="T4" t="s">
        <v>105</v>
      </c>
    </row>
    <row r="5" ht="15" customHeight="1" spans="8:21">
      <c r="H5" t="s">
        <v>105</v>
      </c>
      <c r="R5" t="str" cm="1">
        <f t="array" ref="R5:R9">_xlfn.UNIQUE(Table1[Product])</f>
        <v>Fries</v>
      </c>
      <c r="S5" t="s">
        <v>19</v>
      </c>
      <c r="T5" t="s">
        <v>19</v>
      </c>
      <c r="U5">
        <f>SUMIFS('Restaurant Data'!K:K,'Restaurant Data'!J:J,Dashboard!S5)</f>
        <v>241714.1157</v>
      </c>
    </row>
    <row r="6" ht="17.5" customHeight="1" spans="5:22">
      <c r="E6" s="11"/>
      <c r="F6" s="11"/>
      <c r="G6" s="11"/>
      <c r="H6" s="11"/>
      <c r="R6" t="str">
        <v>Drink</v>
      </c>
      <c r="T6" t="s">
        <v>16</v>
      </c>
      <c r="V6">
        <f>SUMIFS('Restaurant Data'!K:K,'Restaurant Data'!J:J,Dashboard!T6)</f>
        <v>211201.0406</v>
      </c>
    </row>
    <row r="7" spans="18:22">
      <c r="R7" t="str">
        <v>Snack</v>
      </c>
      <c r="T7" t="s">
        <v>6</v>
      </c>
      <c r="V7">
        <f>SUMIFS('Restaurant Data'!K:K,'Restaurant Data'!J:J,Dashboard!T7)</f>
        <v>79800.3051</v>
      </c>
    </row>
    <row r="8" spans="18:22">
      <c r="R8" t="str">
        <v>Burger</v>
      </c>
      <c r="T8" t="s">
        <v>12</v>
      </c>
      <c r="V8">
        <f>SUMIFS('Restaurant Data'!K:K,'Restaurant Data'!J:J,Dashboard!T8)</f>
        <v>136200.2665</v>
      </c>
    </row>
    <row r="9" ht="7.5" customHeight="1" spans="18:22">
      <c r="R9" t="str">
        <v>Sandwich</v>
      </c>
      <c r="T9" t="s">
        <v>9</v>
      </c>
      <c r="V9">
        <f>SUMIFS('Restaurant Data'!K:K,'Restaurant Data'!J:J,Dashboard!T9)</f>
        <v>100600.1313</v>
      </c>
    </row>
    <row r="10" ht="7.5" hidden="1" customHeight="1"/>
    <row r="11" ht="4" customHeight="1"/>
    <row r="13" ht="15.5" customHeight="1" spans="12:12">
      <c r="L13" s="11"/>
    </row>
    <row r="14" spans="5:8">
      <c r="E14" s="11"/>
      <c r="F14" s="11"/>
      <c r="G14" s="11"/>
      <c r="H14" s="11"/>
    </row>
    <row r="52" spans="2:2">
      <c r="B52" s="12">
        <v>332114.6584</v>
      </c>
    </row>
    <row r="53" spans="2:4">
      <c r="B53" s="12">
        <v>437401.2008</v>
      </c>
      <c r="D53" s="13">
        <f>IFERROR((B53-B52)/B52,0)</f>
        <v>0.317018655265713</v>
      </c>
    </row>
  </sheetData>
  <sheetProtection sheet="1" objects="1" scenarios="1"/>
  <dataValidations count="4">
    <dataValidation type="list" allowBlank="1" showInputMessage="1" showErrorMessage="1" sqref="H2">
      <formula1>'Restaurant Data'!$N$3:$N$5</formula1>
    </dataValidation>
    <dataValidation type="list" allowBlank="1" showInputMessage="1" showErrorMessage="1" sqref="H3">
      <formula1>'Restaurant Data'!$G$2:$G$255</formula1>
    </dataValidation>
    <dataValidation type="list" allowBlank="1" showInputMessage="1" showErrorMessage="1" sqref="H4">
      <formula1>$R$4:$R$9</formula1>
    </dataValidation>
    <dataValidation type="list" allowBlank="1" showInputMessage="1" showErrorMessage="1" sqref="H5">
      <formula1>$T$4:$T$9</formula1>
    </dataValidation>
  </dataValidation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26"/>
  <sheetViews>
    <sheetView showGridLines="0" tabSelected="1" topLeftCell="A2" workbookViewId="0">
      <selection activeCell="D4" sqref="D4"/>
    </sheetView>
  </sheetViews>
  <sheetFormatPr defaultColWidth="9" defaultRowHeight="14"/>
  <cols>
    <col min="1" max="1" width="3.63333333333333" customWidth="1"/>
    <col min="2" max="2" width="8.725" customWidth="1"/>
    <col min="3" max="3" width="12.0916666666667" customWidth="1"/>
    <col min="4" max="4" width="11.6333333333333" customWidth="1"/>
    <col min="8" max="8" width="18" customWidth="1"/>
    <col min="9" max="9" width="12.0916666666667" customWidth="1"/>
    <col min="13" max="13" width="12.3666666666667" customWidth="1"/>
    <col min="14" max="14" width="12.6333333333333" customWidth="1"/>
    <col min="16" max="16" width="9.90833333333333" customWidth="1"/>
  </cols>
  <sheetData>
    <row r="1" ht="5.5" customHeight="1" spans="13:14">
      <c r="M1" s="9"/>
      <c r="N1" s="9"/>
    </row>
    <row r="2" s="1" customFormat="1" ht="34" customHeight="1" spans="8:14">
      <c r="H2" s="4" t="s">
        <v>109</v>
      </c>
      <c r="I2" s="4"/>
      <c r="J2" s="4"/>
      <c r="K2" s="4"/>
      <c r="L2" s="4"/>
      <c r="M2" s="4"/>
      <c r="N2" s="4"/>
    </row>
    <row r="3" ht="13" customHeight="1"/>
    <row r="4" s="2" customFormat="1" ht="17.5" spans="3:14">
      <c r="C4" s="5" t="s">
        <v>110</v>
      </c>
      <c r="D4" s="6" t="s">
        <v>105</v>
      </c>
      <c r="H4" s="5" t="s">
        <v>111</v>
      </c>
      <c r="I4" s="10" t="s">
        <v>105</v>
      </c>
      <c r="M4" s="5" t="s">
        <v>112</v>
      </c>
      <c r="N4" s="10" t="s">
        <v>105</v>
      </c>
    </row>
    <row r="5" s="3" customFormat="1" ht="10" customHeight="1" spans="4:4">
      <c r="D5" s="7"/>
    </row>
    <row r="23" ht="27.5" customHeight="1"/>
    <row r="26" ht="20" spans="8:10">
      <c r="H26" s="8"/>
      <c r="I26" s="8"/>
      <c r="J26" s="8"/>
    </row>
  </sheetData>
  <sheetProtection sheet="1" selectLockedCells="1" objects="1" scenarios="1"/>
  <dataValidations count="3">
    <dataValidation type="list" allowBlank="1" showInputMessage="1" showErrorMessage="1" sqref="D4">
      <formula1>Dashboard!$T$4:$T$9</formula1>
    </dataValidation>
    <dataValidation type="list" allowBlank="1" showInputMessage="1" showErrorMessage="1" sqref="I4">
      <formula1>Dashboard!$R$4:$R$9</formula1>
    </dataValidation>
    <dataValidation type="list" allowBlank="1" showInputMessage="1" showErrorMessage="1" sqref="N4">
      <formula1>'Restaurant Data'!$N$3:$N$5</formula1>
    </dataValidation>
  </dataValidation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llowEditUser xmlns="https://web.wps.cn/et/2018/main" xmlns:s="http://schemas.openxmlformats.org/spreadsheetml/2006/main" hasInvisiblePropRange="0">
  <rangeList sheetStid="13" master="" otherUserPermission="visible"/>
  <rangeList sheetStid="5" master="" otherUserPermission="visible"/>
  <rangeList sheetStid="2" master="" otherUserPermission="visible"/>
  <rangeList sheetStid="8" master="" otherUserPermission="visible"/>
  <rangeList sheetStid="14" master="" otherUserPermission="visible"/>
</allowEditUser>
</file>

<file path=customXml/item2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BCAA2E5B-DA8A-4505-88C2-4B0473FCAA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Slicers</vt:lpstr>
      <vt:lpstr>Pivot Tables</vt:lpstr>
      <vt:lpstr>Restaurant Data</vt:lpstr>
      <vt:lpstr>Dashboard</vt:lpstr>
      <vt:lpstr>Main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</dc:creator>
  <cp:lastModifiedBy>Diana Njogu</cp:lastModifiedBy>
  <dcterms:created xsi:type="dcterms:W3CDTF">2025-11-06T08:40:00Z</dcterms:created>
  <dcterms:modified xsi:type="dcterms:W3CDTF">2025-11-11T14:24:24Z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FF1E6CB9A6894884ADC26C3B7A9B94D6_12</vt:lpwstr>
  </property>
  <property fmtid="{D5CDD505-2E9C-101B-9397-08002B2CF9AE}" pid="3" name="KSOProductBuildVer">
    <vt:lpwstr>1033-12.2.0.23155</vt:lpwstr>
  </property>
</Properties>
</file>